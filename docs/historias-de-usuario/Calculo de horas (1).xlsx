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c7aa5c371eccc81/Documentos/FitLoyalty/"/>
    </mc:Choice>
  </mc:AlternateContent>
  <xr:revisionPtr revIDLastSave="23" documentId="8_{7C5EF4A8-335C-4B66-85FC-1C414D5C3C00}" xr6:coauthVersionLast="47" xr6:coauthVersionMax="47" xr10:uidLastSave="{B613F0C8-A4D4-4E35-AAA5-218EB4391B4A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HXbM0IPPXbYAIrOjcJvVVLMry/9ij6UKQ8ojNDCe6I="/>
    </ext>
  </extLst>
</workbook>
</file>

<file path=xl/calcChain.xml><?xml version="1.0" encoding="utf-8"?>
<calcChain xmlns="http://schemas.openxmlformats.org/spreadsheetml/2006/main">
  <c r="G40" i="1" l="1"/>
  <c r="G39" i="1"/>
  <c r="G38" i="1"/>
  <c r="H37" i="1"/>
  <c r="G37" i="1"/>
  <c r="E35" i="1"/>
  <c r="D35" i="1"/>
  <c r="G32" i="1"/>
  <c r="G31" i="1"/>
  <c r="G30" i="1"/>
  <c r="H29" i="1"/>
  <c r="G29" i="1"/>
  <c r="E27" i="1"/>
  <c r="D27" i="1"/>
  <c r="G24" i="1"/>
  <c r="G23" i="1"/>
  <c r="G22" i="1"/>
  <c r="H21" i="1"/>
  <c r="G21" i="1"/>
  <c r="E19" i="1"/>
  <c r="D19" i="1"/>
  <c r="G16" i="1"/>
  <c r="G15" i="1"/>
  <c r="G14" i="1"/>
  <c r="H13" i="1"/>
  <c r="G13" i="1"/>
  <c r="E11" i="1"/>
  <c r="D11" i="1"/>
  <c r="G8" i="1"/>
  <c r="G7" i="1"/>
  <c r="G6" i="1"/>
  <c r="H5" i="1"/>
  <c r="G5" i="1"/>
  <c r="E3" i="1"/>
  <c r="D3" i="1"/>
</calcChain>
</file>

<file path=xl/sharedStrings.xml><?xml version="1.0" encoding="utf-8"?>
<sst xmlns="http://schemas.openxmlformats.org/spreadsheetml/2006/main" count="67" uniqueCount="35">
  <si>
    <t>SPRINT 1</t>
  </si>
  <si>
    <t>Usuarios</t>
  </si>
  <si>
    <t>Semanas destinadas</t>
  </si>
  <si>
    <t>HISTORIA DE USUARIO</t>
  </si>
  <si>
    <t>PUNTAJE</t>
  </si>
  <si>
    <t>INTEGRANTES</t>
  </si>
  <si>
    <t>DÍAS DEDICADOS A LA HISTORIA</t>
  </si>
  <si>
    <t>HORAS DEL DÍA</t>
  </si>
  <si>
    <t>CAPACIDAD TOTAL (HORAS)</t>
  </si>
  <si>
    <t xml:space="preserve">VELOCIDAD </t>
  </si>
  <si>
    <t>SPRINT 2</t>
  </si>
  <si>
    <t>SPRINT 3</t>
  </si>
  <si>
    <t>SPRINT 4</t>
  </si>
  <si>
    <t>HU-01: Crear cuenta de usuario</t>
  </si>
  <si>
    <t>HU-02: Consultar cuentas de personal</t>
  </si>
  <si>
    <t>HU-03: Editar cuenta de personal</t>
  </si>
  <si>
    <t>HU-04: Eliminar cuenta de personal</t>
  </si>
  <si>
    <t>Autenticación y Miembros</t>
  </si>
  <si>
    <t>HU-05: Iniciar sesión</t>
  </si>
  <si>
    <t>HU-06: Cerrar sesión</t>
  </si>
  <si>
    <t>HU-07: Registrar perfil de miembro</t>
  </si>
  <si>
    <t>HU-08: Consultar perfil de miembro</t>
  </si>
  <si>
    <t>Gestión de Miembros y Membresía</t>
  </si>
  <si>
    <t>HU-09: Editar perfil de miembro</t>
  </si>
  <si>
    <t>HU-10: Desactivar perfil de miembro</t>
  </si>
  <si>
    <t>HU-11: Registrar membresía</t>
  </si>
  <si>
    <t>HU-12: Consultar estado de membresía</t>
  </si>
  <si>
    <t>Check-in y Dashboard</t>
  </si>
  <si>
    <t>HU-13: Actualizar membresía auto.</t>
  </si>
  <si>
    <t>HU-14: Check-in código QR/barras</t>
  </si>
  <si>
    <t>HU-15: Validar membresía en check-in</t>
  </si>
  <si>
    <t>HU-16: Dashboard métricas del día</t>
  </si>
  <si>
    <t>SPRINT 5</t>
  </si>
  <si>
    <t>Dashboard y Alertas</t>
  </si>
  <si>
    <t>HU-17: Detectar miembros inactivos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</si>
</sst>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sz val="11"/>
      <name val="Calibri"/>
    </font>
    <font>
      <b/>
      <sz val="14"/>
      <color rgb="FFFFFFFF"/>
      <name val="Calibri"/>
    </font>
    <font>
      <b/>
      <sz val="14"/>
      <color theme="0"/>
      <name val="Calibri"/>
    </font>
    <font>
      <b/>
      <sz val="14"/>
      <color rgb="FF000000"/>
      <name val="Calibri"/>
    </font>
    <font>
      <sz val="14"/>
      <color rgb="FF000000"/>
      <name val="Calibri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/>
    <xf numFmtId="0" fontId="4" fillId="2" borderId="5" xfId="0" applyFont="1" applyFill="1" applyBorder="1"/>
    <xf numFmtId="0" fontId="4" fillId="2" borderId="6" xfId="0" applyFont="1" applyFill="1" applyBorder="1" applyAlignment="1">
      <alignment horizontal="center"/>
    </xf>
    <xf numFmtId="0" fontId="5" fillId="2" borderId="6" xfId="0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4" fillId="2" borderId="10" xfId="0" applyFont="1" applyFill="1" applyBorder="1"/>
    <xf numFmtId="0" fontId="5" fillId="2" borderId="11" xfId="0" applyFont="1" applyFill="1" applyBorder="1"/>
    <xf numFmtId="0" fontId="2" fillId="0" borderId="9" xfId="0" applyFont="1" applyBorder="1"/>
    <xf numFmtId="0" fontId="2" fillId="0" borderId="14" xfId="0" applyFont="1" applyBorder="1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5" fillId="2" borderId="6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6" fillId="3" borderId="0" xfId="0" applyFont="1" applyFill="1" applyBorder="1"/>
    <xf numFmtId="0" fontId="4" fillId="4" borderId="17" xfId="0" applyFont="1" applyFill="1" applyBorder="1"/>
    <xf numFmtId="0" fontId="4" fillId="4" borderId="19" xfId="0" applyFont="1" applyFill="1" applyBorder="1" applyAlignment="1">
      <alignment horizontal="center"/>
    </xf>
    <xf numFmtId="0" fontId="8" fillId="4" borderId="17" xfId="0" applyFont="1" applyFill="1" applyBorder="1"/>
    <xf numFmtId="0" fontId="8" fillId="4" borderId="19" xfId="0" applyFont="1" applyFill="1" applyBorder="1"/>
    <xf numFmtId="0" fontId="7" fillId="3" borderId="17" xfId="0" applyFont="1" applyFill="1" applyBorder="1"/>
    <xf numFmtId="0" fontId="7" fillId="3" borderId="19" xfId="0" applyFont="1" applyFill="1" applyBorder="1" applyAlignment="1">
      <alignment horizontal="center"/>
    </xf>
    <xf numFmtId="0" fontId="8" fillId="4" borderId="12" xfId="0" applyFont="1" applyFill="1" applyBorder="1"/>
    <xf numFmtId="0" fontId="9" fillId="3" borderId="17" xfId="0" applyFont="1" applyFill="1" applyBorder="1"/>
    <xf numFmtId="0" fontId="9" fillId="3" borderId="22" xfId="0" applyFont="1" applyFill="1" applyBorder="1"/>
    <xf numFmtId="0" fontId="0" fillId="3" borderId="24" xfId="0" applyFill="1" applyBorder="1"/>
    <xf numFmtId="0" fontId="2" fillId="0" borderId="25" xfId="0" applyFont="1" applyBorder="1"/>
    <xf numFmtId="0" fontId="0" fillId="3" borderId="26" xfId="0" applyFill="1" applyBorder="1"/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left"/>
    </xf>
    <xf numFmtId="0" fontId="8" fillId="4" borderId="20" xfId="0" applyFont="1" applyFill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25FFD3-1D1E-4925-B50A-0B5787A1A64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9af8f49-6e50-45ea-b18a-33bc82e811a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981"/>
  <sheetViews>
    <sheetView tabSelected="1" workbookViewId="0">
      <selection activeCell="F7" sqref="F7"/>
    </sheetView>
  </sheetViews>
  <sheetFormatPr baseColWidth="10" defaultColWidth="14.44140625" defaultRowHeight="15" customHeight="1" x14ac:dyDescent="0.3"/>
  <cols>
    <col min="1" max="1" width="10.6640625" customWidth="1"/>
    <col min="2" max="2" width="42.109375" bestFit="1" customWidth="1"/>
    <col min="3" max="3" width="11.44140625" customWidth="1"/>
    <col min="4" max="4" width="17.33203125" customWidth="1"/>
    <col min="5" max="5" width="36.88671875" customWidth="1"/>
    <col min="6" max="6" width="19" customWidth="1"/>
    <col min="7" max="7" width="32.6640625" customWidth="1"/>
    <col min="8" max="8" width="15" customWidth="1"/>
    <col min="9" max="26" width="10.6640625" customWidth="1"/>
  </cols>
  <sheetData>
    <row r="2" spans="2:8" ht="18" x14ac:dyDescent="0.35">
      <c r="B2" s="1" t="s">
        <v>0</v>
      </c>
      <c r="C2" s="11" t="s">
        <v>1</v>
      </c>
      <c r="D2" s="12"/>
      <c r="E2" s="12"/>
      <c r="F2" s="12"/>
      <c r="G2" s="12"/>
      <c r="H2" s="13"/>
    </row>
    <row r="3" spans="2:8" ht="18" x14ac:dyDescent="0.35">
      <c r="B3" s="2" t="s">
        <v>2</v>
      </c>
      <c r="C3" s="3">
        <v>3</v>
      </c>
      <c r="D3" s="4" t="str">
        <f>IF(C3&gt;4,"No viable","Viable")</f>
        <v>Viable</v>
      </c>
      <c r="E3" s="14" t="str">
        <f>CONCATENATE("Las semanas destinadas son: "&amp; C3)</f>
        <v>Las semanas destinadas son: 3</v>
      </c>
      <c r="F3" s="15"/>
      <c r="G3" s="15"/>
      <c r="H3" s="16"/>
    </row>
    <row r="4" spans="2:8" ht="18" x14ac:dyDescent="0.35">
      <c r="B4" s="5" t="s">
        <v>3</v>
      </c>
      <c r="C4" s="6" t="s">
        <v>4</v>
      </c>
      <c r="D4" s="6" t="s">
        <v>5</v>
      </c>
      <c r="E4" s="7" t="s">
        <v>6</v>
      </c>
      <c r="F4" s="6" t="s">
        <v>7</v>
      </c>
      <c r="G4" s="6" t="s">
        <v>8</v>
      </c>
      <c r="H4" s="8" t="s">
        <v>9</v>
      </c>
    </row>
    <row r="5" spans="2:8" ht="18" x14ac:dyDescent="0.35">
      <c r="B5" s="9" t="s">
        <v>13</v>
      </c>
      <c r="C5" s="35">
        <v>5</v>
      </c>
      <c r="D5" s="35">
        <v>2</v>
      </c>
      <c r="E5" s="35">
        <v>3</v>
      </c>
      <c r="F5" s="35">
        <v>5.5</v>
      </c>
      <c r="G5" s="35">
        <f t="shared" ref="G5:G8" si="0">D5*E5*F5</f>
        <v>33</v>
      </c>
      <c r="H5" s="43">
        <f>AVERAGE(C5:C8)</f>
        <v>4</v>
      </c>
    </row>
    <row r="6" spans="2:8" ht="18" x14ac:dyDescent="0.35">
      <c r="B6" s="9" t="s">
        <v>14</v>
      </c>
      <c r="C6" s="35">
        <v>3</v>
      </c>
      <c r="D6" s="35">
        <v>1</v>
      </c>
      <c r="E6" s="35">
        <v>2</v>
      </c>
      <c r="F6" s="35">
        <v>5</v>
      </c>
      <c r="G6" s="35">
        <f t="shared" si="0"/>
        <v>10</v>
      </c>
      <c r="H6" s="44"/>
    </row>
    <row r="7" spans="2:8" ht="18" x14ac:dyDescent="0.35">
      <c r="B7" s="9" t="s">
        <v>15</v>
      </c>
      <c r="C7" s="35">
        <v>5</v>
      </c>
      <c r="D7" s="35">
        <v>2</v>
      </c>
      <c r="E7" s="35">
        <v>3</v>
      </c>
      <c r="F7" s="35">
        <v>5.5</v>
      </c>
      <c r="G7" s="35">
        <f t="shared" si="0"/>
        <v>33</v>
      </c>
      <c r="H7" s="44"/>
    </row>
    <row r="8" spans="2:8" ht="18.600000000000001" thickBot="1" x14ac:dyDescent="0.4">
      <c r="B8" s="10" t="s">
        <v>16</v>
      </c>
      <c r="C8" s="36">
        <v>3</v>
      </c>
      <c r="D8" s="36">
        <v>1</v>
      </c>
      <c r="E8" s="36">
        <v>2</v>
      </c>
      <c r="F8" s="36">
        <v>5</v>
      </c>
      <c r="G8" s="36">
        <f t="shared" si="0"/>
        <v>10</v>
      </c>
      <c r="H8" s="45"/>
    </row>
    <row r="9" spans="2:8" ht="15" customHeight="1" thickBot="1" x14ac:dyDescent="0.35"/>
    <row r="10" spans="2:8" ht="15.75" customHeight="1" x14ac:dyDescent="0.35">
      <c r="B10" s="1" t="s">
        <v>10</v>
      </c>
      <c r="C10" s="11" t="s">
        <v>17</v>
      </c>
      <c r="D10" s="12"/>
      <c r="E10" s="12"/>
      <c r="F10" s="12"/>
      <c r="G10" s="12"/>
      <c r="H10" s="13"/>
    </row>
    <row r="11" spans="2:8" ht="15.75" customHeight="1" x14ac:dyDescent="0.35">
      <c r="B11" s="2" t="s">
        <v>2</v>
      </c>
      <c r="C11" s="3">
        <v>3</v>
      </c>
      <c r="D11" s="4" t="str">
        <f>IF(C11&gt;4,"No viable","Viable")</f>
        <v>Viable</v>
      </c>
      <c r="E11" s="14" t="str">
        <f>CONCATENATE("Las semanas destinadas son: "&amp; C11)</f>
        <v>Las semanas destinadas son: 3</v>
      </c>
      <c r="F11" s="15"/>
      <c r="G11" s="15"/>
      <c r="H11" s="16"/>
    </row>
    <row r="12" spans="2:8" ht="15.75" customHeight="1" x14ac:dyDescent="0.35">
      <c r="B12" s="5" t="s">
        <v>3</v>
      </c>
      <c r="C12" s="6" t="s">
        <v>4</v>
      </c>
      <c r="D12" s="6" t="s">
        <v>5</v>
      </c>
      <c r="E12" s="7" t="s">
        <v>6</v>
      </c>
      <c r="F12" s="6" t="s">
        <v>7</v>
      </c>
      <c r="G12" s="6" t="s">
        <v>8</v>
      </c>
      <c r="H12" s="8" t="s">
        <v>9</v>
      </c>
    </row>
    <row r="13" spans="2:8" ht="15.75" customHeight="1" x14ac:dyDescent="0.35">
      <c r="B13" s="9" t="s">
        <v>18</v>
      </c>
      <c r="C13" s="35">
        <v>5</v>
      </c>
      <c r="D13" s="35">
        <v>2</v>
      </c>
      <c r="E13" s="35">
        <v>3</v>
      </c>
      <c r="F13" s="35">
        <v>5.5</v>
      </c>
      <c r="G13" s="35">
        <f t="shared" ref="G13:G16" si="1">D13*E13*F13</f>
        <v>33</v>
      </c>
      <c r="H13" s="43">
        <f>AVERAGE(C13:C16)</f>
        <v>6</v>
      </c>
    </row>
    <row r="14" spans="2:8" ht="15.75" customHeight="1" x14ac:dyDescent="0.35">
      <c r="B14" s="9" t="s">
        <v>19</v>
      </c>
      <c r="C14" s="35">
        <v>8</v>
      </c>
      <c r="D14" s="35">
        <v>2</v>
      </c>
      <c r="E14" s="35">
        <v>4</v>
      </c>
      <c r="F14" s="35">
        <v>5.5</v>
      </c>
      <c r="G14" s="35">
        <f t="shared" si="1"/>
        <v>44</v>
      </c>
      <c r="H14" s="44"/>
    </row>
    <row r="15" spans="2:8" ht="15.75" customHeight="1" x14ac:dyDescent="0.35">
      <c r="B15" s="9" t="s">
        <v>20</v>
      </c>
      <c r="C15" s="35">
        <v>8</v>
      </c>
      <c r="D15" s="35">
        <v>2</v>
      </c>
      <c r="E15" s="35">
        <v>4</v>
      </c>
      <c r="F15" s="35">
        <v>5.5</v>
      </c>
      <c r="G15" s="35">
        <f t="shared" si="1"/>
        <v>44</v>
      </c>
      <c r="H15" s="44"/>
    </row>
    <row r="16" spans="2:8" ht="15.75" customHeight="1" thickBot="1" x14ac:dyDescent="0.4">
      <c r="B16" s="10" t="s">
        <v>21</v>
      </c>
      <c r="C16" s="36">
        <v>3</v>
      </c>
      <c r="D16" s="36">
        <v>1</v>
      </c>
      <c r="E16" s="36">
        <v>2</v>
      </c>
      <c r="F16" s="36">
        <v>5</v>
      </c>
      <c r="G16" s="36">
        <f t="shared" si="1"/>
        <v>10</v>
      </c>
      <c r="H16" s="45"/>
    </row>
    <row r="17" spans="2:8" ht="15.75" customHeight="1" thickBot="1" x14ac:dyDescent="0.35"/>
    <row r="18" spans="2:8" ht="15.75" customHeight="1" x14ac:dyDescent="0.35">
      <c r="B18" s="1" t="s">
        <v>11</v>
      </c>
      <c r="C18" s="11" t="s">
        <v>22</v>
      </c>
      <c r="D18" s="12"/>
      <c r="E18" s="12"/>
      <c r="F18" s="12"/>
      <c r="G18" s="12"/>
      <c r="H18" s="13"/>
    </row>
    <row r="19" spans="2:8" ht="15.75" customHeight="1" x14ac:dyDescent="0.35">
      <c r="B19" s="2" t="s">
        <v>2</v>
      </c>
      <c r="C19" s="3">
        <v>3</v>
      </c>
      <c r="D19" s="4" t="str">
        <f>IF(C19&gt;4,"No viable","Viable")</f>
        <v>Viable</v>
      </c>
      <c r="E19" s="14" t="str">
        <f>CONCATENATE("Las semanas destinadas son: "&amp; C19)</f>
        <v>Las semanas destinadas son: 3</v>
      </c>
      <c r="F19" s="15"/>
      <c r="G19" s="15"/>
      <c r="H19" s="16"/>
    </row>
    <row r="20" spans="2:8" ht="15.75" customHeight="1" x14ac:dyDescent="0.35">
      <c r="B20" s="5" t="s">
        <v>3</v>
      </c>
      <c r="C20" s="6" t="s">
        <v>4</v>
      </c>
      <c r="D20" s="6" t="s">
        <v>5</v>
      </c>
      <c r="E20" s="7" t="s">
        <v>6</v>
      </c>
      <c r="F20" s="6" t="s">
        <v>7</v>
      </c>
      <c r="G20" s="6" t="s">
        <v>8</v>
      </c>
      <c r="H20" s="8" t="s">
        <v>9</v>
      </c>
    </row>
    <row r="21" spans="2:8" ht="15.75" customHeight="1" x14ac:dyDescent="0.35">
      <c r="B21" s="9" t="s">
        <v>23</v>
      </c>
      <c r="C21" s="35">
        <v>3</v>
      </c>
      <c r="D21" s="35">
        <v>1</v>
      </c>
      <c r="E21" s="35">
        <v>2</v>
      </c>
      <c r="F21" s="35">
        <v>5</v>
      </c>
      <c r="G21" s="35">
        <f t="shared" ref="G21:G24" si="2">D21*E21*F21</f>
        <v>10</v>
      </c>
      <c r="H21" s="43">
        <f>AVERAGE(C21:C24)</f>
        <v>4.75</v>
      </c>
    </row>
    <row r="22" spans="2:8" ht="15.75" customHeight="1" x14ac:dyDescent="0.35">
      <c r="B22" s="9" t="s">
        <v>24</v>
      </c>
      <c r="C22" s="35">
        <v>5</v>
      </c>
      <c r="D22" s="35">
        <v>2</v>
      </c>
      <c r="E22" s="35">
        <v>3</v>
      </c>
      <c r="F22" s="35">
        <v>5.5</v>
      </c>
      <c r="G22" s="35">
        <f t="shared" si="2"/>
        <v>33</v>
      </c>
      <c r="H22" s="44"/>
    </row>
    <row r="23" spans="2:8" ht="15.75" customHeight="1" x14ac:dyDescent="0.35">
      <c r="B23" s="9" t="s">
        <v>25</v>
      </c>
      <c r="C23" s="35">
        <v>8</v>
      </c>
      <c r="D23" s="35">
        <v>2</v>
      </c>
      <c r="E23" s="35">
        <v>4</v>
      </c>
      <c r="F23" s="35">
        <v>5.5</v>
      </c>
      <c r="G23" s="35">
        <f t="shared" si="2"/>
        <v>44</v>
      </c>
      <c r="H23" s="44"/>
    </row>
    <row r="24" spans="2:8" ht="15.75" customHeight="1" thickBot="1" x14ac:dyDescent="0.4">
      <c r="B24" s="10" t="s">
        <v>26</v>
      </c>
      <c r="C24" s="36">
        <v>3</v>
      </c>
      <c r="D24" s="36">
        <v>1</v>
      </c>
      <c r="E24" s="36">
        <v>2</v>
      </c>
      <c r="F24" s="36">
        <v>5</v>
      </c>
      <c r="G24" s="36">
        <f t="shared" si="2"/>
        <v>10</v>
      </c>
      <c r="H24" s="45"/>
    </row>
    <row r="25" spans="2:8" ht="15.75" customHeight="1" thickBot="1" x14ac:dyDescent="0.35"/>
    <row r="26" spans="2:8" ht="15.75" customHeight="1" x14ac:dyDescent="0.35">
      <c r="B26" s="1" t="s">
        <v>12</v>
      </c>
      <c r="C26" s="11" t="s">
        <v>27</v>
      </c>
      <c r="D26" s="12"/>
      <c r="E26" s="12"/>
      <c r="F26" s="12"/>
      <c r="G26" s="12"/>
      <c r="H26" s="13"/>
    </row>
    <row r="27" spans="2:8" ht="15.75" customHeight="1" x14ac:dyDescent="0.35">
      <c r="B27" s="2" t="s">
        <v>2</v>
      </c>
      <c r="C27" s="3">
        <v>3</v>
      </c>
      <c r="D27" s="4" t="str">
        <f>IF(C27&gt;4,"No viable","Viable")</f>
        <v>Viable</v>
      </c>
      <c r="E27" s="14" t="str">
        <f>CONCATENATE("Las semanas destinadas son: "&amp; C27)</f>
        <v>Las semanas destinadas son: 3</v>
      </c>
      <c r="F27" s="15"/>
      <c r="G27" s="15"/>
      <c r="H27" s="16"/>
    </row>
    <row r="28" spans="2:8" ht="15.75" customHeight="1" x14ac:dyDescent="0.35">
      <c r="B28" s="5" t="s">
        <v>3</v>
      </c>
      <c r="C28" s="6" t="s">
        <v>4</v>
      </c>
      <c r="D28" s="6" t="s">
        <v>5</v>
      </c>
      <c r="E28" s="7" t="s">
        <v>6</v>
      </c>
      <c r="F28" s="6" t="s">
        <v>7</v>
      </c>
      <c r="G28" s="6" t="s">
        <v>8</v>
      </c>
      <c r="H28" s="8" t="s">
        <v>9</v>
      </c>
    </row>
    <row r="29" spans="2:8" ht="15.75" customHeight="1" x14ac:dyDescent="0.35">
      <c r="B29" s="9" t="s">
        <v>28</v>
      </c>
      <c r="C29" s="35">
        <v>8</v>
      </c>
      <c r="D29" s="35">
        <v>2</v>
      </c>
      <c r="E29" s="35">
        <v>4</v>
      </c>
      <c r="F29" s="35">
        <v>5.5</v>
      </c>
      <c r="G29" s="35">
        <f t="shared" ref="G29:G32" si="3">D29*E29*F29</f>
        <v>44</v>
      </c>
      <c r="H29" s="43">
        <f>AVERAGE(C29:C32)</f>
        <v>6.5</v>
      </c>
    </row>
    <row r="30" spans="2:8" ht="15.75" customHeight="1" x14ac:dyDescent="0.35">
      <c r="B30" s="9" t="s">
        <v>29</v>
      </c>
      <c r="C30" s="35">
        <v>8</v>
      </c>
      <c r="D30" s="35">
        <v>2</v>
      </c>
      <c r="E30" s="35">
        <v>4</v>
      </c>
      <c r="F30" s="35">
        <v>5.5</v>
      </c>
      <c r="G30" s="35">
        <f t="shared" si="3"/>
        <v>44</v>
      </c>
      <c r="H30" s="44"/>
    </row>
    <row r="31" spans="2:8" ht="15.75" customHeight="1" x14ac:dyDescent="0.35">
      <c r="B31" s="9" t="s">
        <v>30</v>
      </c>
      <c r="C31" s="35">
        <v>5</v>
      </c>
      <c r="D31" s="35">
        <v>2</v>
      </c>
      <c r="E31" s="35">
        <v>3</v>
      </c>
      <c r="F31" s="35">
        <v>5.5</v>
      </c>
      <c r="G31" s="35">
        <f t="shared" si="3"/>
        <v>33</v>
      </c>
      <c r="H31" s="44"/>
    </row>
    <row r="32" spans="2:8" ht="15.75" customHeight="1" thickBot="1" x14ac:dyDescent="0.4">
      <c r="B32" s="28" t="s">
        <v>31</v>
      </c>
      <c r="C32" s="37">
        <v>5</v>
      </c>
      <c r="D32" s="37">
        <v>2</v>
      </c>
      <c r="E32" s="37">
        <v>3</v>
      </c>
      <c r="F32" s="37">
        <v>5.5</v>
      </c>
      <c r="G32" s="37">
        <f t="shared" si="3"/>
        <v>33</v>
      </c>
      <c r="H32" s="44"/>
    </row>
    <row r="33" spans="1:8" ht="15.75" customHeight="1" thickBot="1" x14ac:dyDescent="0.35">
      <c r="B33" s="27"/>
      <c r="C33" s="27"/>
      <c r="D33" s="27"/>
      <c r="E33" s="27"/>
      <c r="F33" s="27"/>
      <c r="G33" s="27"/>
      <c r="H33" s="27"/>
    </row>
    <row r="34" spans="1:8" ht="15.75" customHeight="1" x14ac:dyDescent="0.35">
      <c r="A34" s="29"/>
      <c r="B34" s="17" t="s">
        <v>32</v>
      </c>
      <c r="C34" s="30" t="s">
        <v>33</v>
      </c>
      <c r="D34" s="31"/>
      <c r="E34" s="31"/>
      <c r="F34" s="31"/>
      <c r="G34" s="31"/>
      <c r="H34" s="32"/>
    </row>
    <row r="35" spans="1:8" ht="15.75" customHeight="1" x14ac:dyDescent="0.35">
      <c r="A35" s="29"/>
      <c r="B35" s="18" t="s">
        <v>2</v>
      </c>
      <c r="C35" s="19">
        <v>2</v>
      </c>
      <c r="D35" s="20" t="str">
        <f>IF(C35&gt;4,"No viable","Viable")</f>
        <v>Viable</v>
      </c>
      <c r="E35" s="33" t="str">
        <f>CONCATENATE("Las semanas destinadas son: "&amp; C35)</f>
        <v>Las semanas destinadas son: 2</v>
      </c>
      <c r="F35" s="33"/>
      <c r="G35" s="33"/>
      <c r="H35" s="34"/>
    </row>
    <row r="36" spans="1:8" ht="15.75" customHeight="1" x14ac:dyDescent="0.35">
      <c r="A36" s="29"/>
      <c r="B36" s="20" t="s">
        <v>3</v>
      </c>
      <c r="C36" s="21" t="s">
        <v>4</v>
      </c>
      <c r="D36" s="21" t="s">
        <v>5</v>
      </c>
      <c r="E36" s="21" t="s">
        <v>6</v>
      </c>
      <c r="F36" s="21" t="s">
        <v>7</v>
      </c>
      <c r="G36" s="21" t="s">
        <v>8</v>
      </c>
      <c r="H36" s="24" t="s">
        <v>9</v>
      </c>
    </row>
    <row r="37" spans="1:8" ht="15.75" customHeight="1" x14ac:dyDescent="0.35">
      <c r="A37" s="29"/>
      <c r="B37" s="22" t="s">
        <v>34</v>
      </c>
      <c r="C37" s="23">
        <v>8</v>
      </c>
      <c r="D37" s="23">
        <v>2</v>
      </c>
      <c r="E37" s="23">
        <v>4</v>
      </c>
      <c r="F37" s="23">
        <v>5.5</v>
      </c>
      <c r="G37" s="23">
        <f>D37*E37*F37</f>
        <v>44</v>
      </c>
      <c r="H37" s="40">
        <f>AVERAGE(C37:C40)</f>
        <v>8</v>
      </c>
    </row>
    <row r="38" spans="1:8" ht="15.75" customHeight="1" x14ac:dyDescent="0.35">
      <c r="A38" s="29"/>
      <c r="B38" s="22"/>
      <c r="C38" s="38"/>
      <c r="D38" s="38"/>
      <c r="E38" s="38"/>
      <c r="F38" s="38"/>
      <c r="G38" s="38">
        <f>D38*E38*F38</f>
        <v>0</v>
      </c>
      <c r="H38" s="41"/>
    </row>
    <row r="39" spans="1:8" ht="15.75" customHeight="1" x14ac:dyDescent="0.35">
      <c r="A39" s="29"/>
      <c r="B39" s="25"/>
      <c r="C39" s="38"/>
      <c r="D39" s="38"/>
      <c r="E39" s="38"/>
      <c r="F39" s="38"/>
      <c r="G39" s="38">
        <f>D39*E39*F39</f>
        <v>0</v>
      </c>
      <c r="H39" s="41"/>
    </row>
    <row r="40" spans="1:8" ht="15.75" customHeight="1" thickBot="1" x14ac:dyDescent="0.4">
      <c r="A40" s="29"/>
      <c r="B40" s="26"/>
      <c r="C40" s="39"/>
      <c r="D40" s="39"/>
      <c r="E40" s="39"/>
      <c r="F40" s="39"/>
      <c r="G40" s="39">
        <f>D40*E40*F40</f>
        <v>0</v>
      </c>
      <c r="H40" s="42"/>
    </row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</sheetData>
  <mergeCells count="15">
    <mergeCell ref="C34:H34"/>
    <mergeCell ref="E35:H35"/>
    <mergeCell ref="H37:H40"/>
    <mergeCell ref="C2:H2"/>
    <mergeCell ref="E3:H3"/>
    <mergeCell ref="H5:H8"/>
    <mergeCell ref="C10:H10"/>
    <mergeCell ref="E11:H11"/>
    <mergeCell ref="H13:H16"/>
    <mergeCell ref="H21:H24"/>
    <mergeCell ref="H29:H32"/>
    <mergeCell ref="C26:H26"/>
    <mergeCell ref="E27:H27"/>
    <mergeCell ref="C18:H18"/>
    <mergeCell ref="E19:H19"/>
  </mergeCells>
  <dataValidations count="1">
    <dataValidation type="decimal" operator="lessThanOrEqual" allowBlank="1" showDropDown="1" showErrorMessage="1" sqref="C3 C11 C19 C27" xr:uid="{00000000-0002-0000-0000-000000000000}">
      <formula1>4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Camilo's PC</dc:creator>
  <cp:lastModifiedBy>luis sanchez</cp:lastModifiedBy>
  <dcterms:created xsi:type="dcterms:W3CDTF">2026-05-04T16:39:58Z</dcterms:created>
  <dcterms:modified xsi:type="dcterms:W3CDTF">2026-05-07T05:10:33Z</dcterms:modified>
</cp:coreProperties>
</file>