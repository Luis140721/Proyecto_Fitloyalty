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yectos\Proyecto_FitLoyalty\.claude\worktrees\avance-requisitos-ca5ff0\docs\"/>
    </mc:Choice>
  </mc:AlternateContent>
  <xr:revisionPtr revIDLastSave="0" documentId="13_ncr:1_{3663D572-96CE-47BF-98D0-5A89291EE09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sumen" sheetId="1" r:id="rId1"/>
    <sheet name="Matriz RF" sheetId="2" r:id="rId2"/>
    <sheet name="Matriz RNF" sheetId="3" r:id="rId3"/>
    <sheet name="Evidencias" sheetId="4" r:id="rId4"/>
  </sheets>
  <definedNames>
    <definedName name="_xlnm._FilterDatabase" localSheetId="3" hidden="1">Evidencias!$A$4:$G$38</definedName>
    <definedName name="_xlnm._FilterDatabase" localSheetId="1" hidden="1">'Matriz RF'!$A$4:$K$20</definedName>
    <definedName name="_xlnm._FilterDatabase" localSheetId="2" hidden="1">'Matriz RNF'!$A$4:$K$13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3" l="1"/>
  <c r="F12" i="3"/>
  <c r="F11" i="3"/>
  <c r="F10" i="3"/>
  <c r="F9" i="3"/>
  <c r="F8" i="3"/>
  <c r="F7" i="3"/>
  <c r="F6" i="3"/>
  <c r="F5" i="3"/>
  <c r="F20" i="2"/>
  <c r="F19" i="2"/>
  <c r="F18" i="2"/>
  <c r="F17" i="2"/>
  <c r="F16" i="2"/>
  <c r="F57" i="1" s="1"/>
  <c r="F15" i="2"/>
  <c r="F14" i="2"/>
  <c r="F58" i="1" s="1"/>
  <c r="F13" i="2"/>
  <c r="F12" i="2"/>
  <c r="F11" i="2"/>
  <c r="F49" i="1" s="1"/>
  <c r="F10" i="2"/>
  <c r="F9" i="2"/>
  <c r="F8" i="2"/>
  <c r="F7" i="2"/>
  <c r="F6" i="2"/>
  <c r="F5" i="2"/>
  <c r="C58" i="1"/>
  <c r="C57" i="1"/>
  <c r="F56" i="1"/>
  <c r="C56" i="1"/>
  <c r="F55" i="1"/>
  <c r="C55" i="1"/>
  <c r="F54" i="1"/>
  <c r="C54" i="1"/>
  <c r="F53" i="1"/>
  <c r="C53" i="1"/>
  <c r="F52" i="1"/>
  <c r="C52" i="1"/>
  <c r="F51" i="1"/>
  <c r="C51" i="1"/>
  <c r="F50" i="1"/>
  <c r="C50" i="1"/>
  <c r="C49" i="1"/>
  <c r="F48" i="1"/>
  <c r="C48" i="1"/>
  <c r="F47" i="1"/>
  <c r="C47" i="1"/>
  <c r="F46" i="1"/>
  <c r="C46" i="1"/>
  <c r="F45" i="1"/>
  <c r="C45" i="1"/>
  <c r="I15" i="1"/>
  <c r="I14" i="1"/>
  <c r="G14" i="1"/>
  <c r="F14" i="1"/>
  <c r="E14" i="1"/>
  <c r="D14" i="1"/>
  <c r="C14" i="1"/>
  <c r="B14" i="1"/>
  <c r="H14" i="1" s="1"/>
  <c r="I13" i="1"/>
  <c r="G13" i="1"/>
  <c r="G15" i="1" s="1"/>
  <c r="F13" i="1"/>
  <c r="F15" i="1" s="1"/>
  <c r="E13" i="1"/>
  <c r="E15" i="1" s="1"/>
  <c r="D13" i="1"/>
  <c r="D15" i="1" s="1"/>
  <c r="C13" i="1"/>
  <c r="B13" i="1"/>
  <c r="I9" i="1"/>
  <c r="I8" i="1"/>
  <c r="G8" i="1"/>
  <c r="F8" i="1"/>
  <c r="E8" i="1"/>
  <c r="D8" i="1"/>
  <c r="C8" i="1"/>
  <c r="B8" i="1"/>
  <c r="H8" i="1" s="1"/>
  <c r="I7" i="1"/>
  <c r="F7" i="1"/>
  <c r="F9" i="1" s="1"/>
  <c r="E7" i="1"/>
  <c r="E9" i="1" s="1"/>
  <c r="D7" i="1"/>
  <c r="D9" i="1" s="1"/>
  <c r="C7" i="1"/>
  <c r="C9" i="1" s="1"/>
  <c r="B7" i="1"/>
  <c r="B9" i="1" s="1"/>
  <c r="J13" i="1" l="1"/>
  <c r="J14" i="1"/>
  <c r="G7" i="1"/>
  <c r="G9" i="1" s="1"/>
  <c r="G52" i="1" s="1"/>
  <c r="J8" i="1"/>
  <c r="H13" i="1"/>
  <c r="C15" i="1"/>
  <c r="G45" i="1"/>
  <c r="G50" i="1"/>
  <c r="G55" i="1"/>
  <c r="G49" i="1"/>
  <c r="G54" i="1"/>
  <c r="G48" i="1"/>
  <c r="G53" i="1"/>
  <c r="G58" i="1"/>
  <c r="G47" i="1"/>
  <c r="J9" i="1"/>
  <c r="H9" i="1"/>
  <c r="H7" i="1"/>
  <c r="B15" i="1"/>
  <c r="J7" i="1" l="1"/>
  <c r="G56" i="1"/>
  <c r="G51" i="1"/>
  <c r="G46" i="1"/>
  <c r="G57" i="1"/>
  <c r="J15" i="1"/>
  <c r="H15" i="1"/>
</calcChain>
</file>

<file path=xl/sharedStrings.xml><?xml version="1.0" encoding="utf-8"?>
<sst xmlns="http://schemas.openxmlformats.org/spreadsheetml/2006/main" count="627" uniqueCount="344">
  <si>
    <t>Avance real de requisitos — FitLoyalty</t>
  </si>
  <si>
    <t>Corte: 2026-10-16 · Código verificado: main @ 54b19fa · Fuente de requisitos: Documentación/Proyecto FitLoyalty.docx (tablas 5 y 6)</t>
  </si>
  <si>
    <t>Avance = (implementados + 0,5 × parciales) / total. Sin evidencia verificable = 0. Todas las cifras son fórmulas sobre las hojas Matriz RF y Matriz RNF.</t>
  </si>
  <si>
    <t>Alcance actualizado (RQF-01..16, RQNF-01..09)</t>
  </si>
  <si>
    <t>Alcance</t>
  </si>
  <si>
    <t>Total</t>
  </si>
  <si>
    <t>Implementados</t>
  </si>
  <si>
    <t>Parciales</t>
  </si>
  <si>
    <t>No implementados</t>
  </si>
  <si>
    <t>Sin evidencia</t>
  </si>
  <si>
    <t>Puntos</t>
  </si>
  <si>
    <t>Avance</t>
  </si>
  <si>
    <t>Meta</t>
  </si>
  <si>
    <t>Puntos que faltan para la meta</t>
  </si>
  <si>
    <t>Requisitos funcionales (RF)</t>
  </si>
  <si>
    <t>Requisitos no funcionales (RNF)</t>
  </si>
  <si>
    <t>Global</t>
  </si>
  <si>
    <t>Solo alcance original del documento (RQF-01..12, RQNF-01..08)</t>
  </si>
  <si>
    <t>RF originales</t>
  </si>
  <si>
    <t>RNF originales</t>
  </si>
  <si>
    <t>Global original</t>
  </si>
  <si>
    <t>Escala (editable)</t>
  </si>
  <si>
    <t>Implementado</t>
  </si>
  <si>
    <t>Fuente: criterio acordado con Luis el 2026-10-16 (Parcial = el núcleo funciona pero falta alguna parte).</t>
  </si>
  <si>
    <t>Parcial</t>
  </si>
  <si>
    <t>No implementado</t>
  </si>
  <si>
    <t>Meta de avance (editable)</t>
  </si>
  <si>
    <t>Fuente: meta del 80 % pedida por Luis para la entrega.</t>
  </si>
  <si>
    <t>Ruta para llegar a la meta (de menor a mayor esfuerzo; lo decide Luis)</t>
  </si>
  <si>
    <t>Acción</t>
  </si>
  <si>
    <t>Requisito</t>
  </si>
  <si>
    <t>Estado actual</t>
  </si>
  <si>
    <t>Responsable</t>
  </si>
  <si>
    <t>Esfuerzo</t>
  </si>
  <si>
    <t>Puntos que suma</t>
  </si>
  <si>
    <t>Avance global acumulado</t>
  </si>
  <si>
    <t>Medir el tiempo del check-in en el entorno desplegado y documentarlo</t>
  </si>
  <si>
    <t>RQNF-01</t>
  </si>
  <si>
    <t>Luis o Santiago</t>
  </si>
  <si>
    <t>Bajo</t>
  </si>
  <si>
    <t>Prueba de usabilidad del check-in manual con 3 personas sin formación técnica</t>
  </si>
  <si>
    <t>RQNF-04</t>
  </si>
  <si>
    <t>Luis</t>
  </si>
  <si>
    <t>Lista de verificación con capturas en Chrome, Firefox y Edge</t>
  </si>
  <si>
    <t>RQNF-06</t>
  </si>
  <si>
    <t>Cierre de sesión por inactividad en el frontend y expiración real del JWT</t>
  </si>
  <si>
    <t>RQF-02</t>
  </si>
  <si>
    <t>Santiago</t>
  </si>
  <si>
    <t>Gráfica de horas pico y refresco automático del dashboard</t>
  </si>
  <si>
    <t>RQF-07</t>
  </si>
  <si>
    <t>Registrar el acceso bloqueado y mostrarlo en la campana del administrador</t>
  </si>
  <si>
    <t>RQF-06</t>
  </si>
  <si>
    <t>Editar y desactivar cuentas del personal</t>
  </si>
  <si>
    <t>RQF-01</t>
  </si>
  <si>
    <t>Medio</t>
  </si>
  <si>
    <t>Congelar y descongelar membresías</t>
  </si>
  <si>
    <t>RQF-04</t>
  </si>
  <si>
    <t>Motor diario con Alerta Amarilla / Roja y umbrales editables</t>
  </si>
  <si>
    <t>RQF-08</t>
  </si>
  <si>
    <t>Script test, pruebas de check-in y alertas hasta ≥ 70 % de cobertura</t>
  </si>
  <si>
    <t>RQNF-07</t>
  </si>
  <si>
    <t>Cálculo de rachas, hitos y mensaje en el check-in</t>
  </si>
  <si>
    <t>RQF-11</t>
  </si>
  <si>
    <t>Monitor externo de disponibilidad con reporte (depende del plan de Render)</t>
  </si>
  <si>
    <t>RQNF-02</t>
  </si>
  <si>
    <t>CRUD de retos, progreso automático y aviso al completar</t>
  </si>
  <si>
    <t>RQF-12</t>
  </si>
  <si>
    <t>Alto</t>
  </si>
  <si>
    <t>Módulo de campañas y plantillas</t>
  </si>
  <si>
    <t>RQF-10</t>
  </si>
  <si>
    <t>La columna «Avance global acumulado» suma, en orden, los puntos de cada acción sobre el avance actual; se pone verde al alcanzar la meta.</t>
  </si>
  <si>
    <t>Matriz RF — trazabilidad contra el código (main @ 54b19fa, verificado 2026-10-16)</t>
  </si>
  <si>
    <t>Puntaje = escala de la hoja Resumen (Implementado 1, Parcial 0,5, No implementado y Sin evidencia 0). Cambia solo la columna Estado; el puntaje y el resumen se recalculan.</t>
  </si>
  <si>
    <t>Código</t>
  </si>
  <si>
    <t>Módulo</t>
  </si>
  <si>
    <t>Requisito (resumen)</t>
  </si>
  <si>
    <t>Origen</t>
  </si>
  <si>
    <t>Estado</t>
  </si>
  <si>
    <t>Puntaje</t>
  </si>
  <si>
    <t>Evidencia verificada (archivo:línea, endpoint o prueba)</t>
  </si>
  <si>
    <t>Lo que falta / observación</t>
  </si>
  <si>
    <t>HU relacionadas</t>
  </si>
  <si>
    <t>Ref. evidencias</t>
  </si>
  <si>
    <t>Responsable sugerido</t>
  </si>
  <si>
    <t>Gestión de Usuarios</t>
  </si>
  <si>
    <t>Crear, editar, eliminar y consultar cuentas del personal con roles Administrador / Recepcionista y permisos diferenciados.</t>
  </si>
  <si>
    <t>Original</t>
  </si>
  <si>
    <t>Crear (por invitación), listar personal y revocar invitaciones: staff.js:109, :198, :227, :329; aceptar la invitación crea la cuenta: staff.js:384. Roles diferenciados: authorize('admin') en staff.js:112 y miembros.js:667 frente a authorize('admin', 'receptionist') en checkin.js:57.</t>
  </si>
  <si>
    <t>Editar y eliminar o desactivar cuentas de personal existentes: no hay PUT/DELETE en /api/admin/staff ni acciones en StaffPage.jsx.</t>
  </si>
  <si>
    <t>HU-01, HU-02, HU-03, HU-04, HU-53</t>
  </si>
  <si>
    <t>EV-01, EV-02</t>
  </si>
  <si>
    <t>Santiago (implementar)</t>
  </si>
  <si>
    <t>Autenticar al personal con usuario y contraseña, con sesión segura y cierre automático por inactividad.</t>
  </si>
  <si>
    <t>POST /api/auth/login compara con bcrypt y emite JWT (auth.js:200, :231); cierre manual (auth.js:295, AuthContext.jsx:95); límite de 5 intentos por minuto (index.js:63, :79).</t>
  </si>
  <si>
    <t>Cierre automático por inactividad (no existe en frontend ni backend). Hallazgo: el JWT del personal no expira, generarToken no aplica JWT_EXPIRES_IN (auth-helpers.js:102-113).</t>
  </si>
  <si>
    <t>HU-05, HU-06</t>
  </si>
  <si>
    <t>EV-03, EV-04</t>
  </si>
  <si>
    <t>RQF-03</t>
  </si>
  <si>
    <t>Gestión de Miembros</t>
  </si>
  <si>
    <t>Registrar, editar y desactivar miembros con datos de contacto e identificador QR, sin duplicados por documento o correo.</t>
  </si>
  <si>
    <t>POST /api/admin/miembros rechaza documento o correo duplicados (miembros.js:357-369) y genera un código QR único (:371-379); editar con PUT (:607); desactivar con activo = FALSE (:664-675); pantalla MiembrosPage.jsx:627, :919, :442.</t>
  </si>
  <si>
    <t>Observación: al editar no se vuelven a validar duplicados de documento o correo (criterio 2 de HU-09).</t>
  </si>
  <si>
    <t>HU-07, HU-08, HU-09, HU-10</t>
  </si>
  <si>
    <t>EV-05, EV-06</t>
  </si>
  <si>
    <t>—</t>
  </si>
  <si>
    <t>Controlar el estado de la membresía (Activa, Vencida, Congelada) y calcular automáticamente la fecha de vencimiento.</t>
  </si>
  <si>
    <t>Cálculo automático de fecha_fin según el plan (miembros.js:185, :382); estado vencido / por vencer contra la fecha actual (miembros.js:276-284); renovación del plan (miembros.js:754).</t>
  </si>
  <si>
    <t>Estado Congelada: la tabla congelacion_membresia existe (migración 002:217) pero ninguna ruta ni pantalla la usa.</t>
  </si>
  <si>
    <t>HU-11, HU-12, HU-13, HU-35..HU-40</t>
  </si>
  <si>
    <t>EV-07, EV-08</t>
  </si>
  <si>
    <t>RQF-05</t>
  </si>
  <si>
    <t>Check-in y Asistencia</t>
  </si>
  <si>
    <t>Registrar en tiempo real la entrada por lectura pasiva del QR o código de barras (HID) con la marca de tiempo exacta.</t>
  </si>
  <si>
    <t>Campo con autoFocus que recibe la lectura del lector HID tipo teclado y envía con Enter (CheckinPage.jsx:221-223, :329-331); lectura por cámara (CheckinPage.jsx:66); POST /api/admin/checkin inserta el ingreso (checkin.js:54, :167-172); fecha_hora DEFAULT CURRENT_TIMESTAMP (migración 002:100).</t>
  </si>
  <si>
    <t>HU-14, HU-32, HU-33, HU-34</t>
  </si>
  <si>
    <t>EV-09, EV-10</t>
  </si>
  <si>
    <t>Validar la membresía en el check-in, bloquear el acceso si está vencida y notificar al administrador de inmediato.</t>
  </si>
  <si>
    <t>Valida el último plan y responde VENCIDO sin registrar el ingreso (checkin.js:116-136); la pantalla muestra «Acceso denegado» (CheckinPage.jsx:133-143).</t>
  </si>
  <si>
    <t>Notificar al administrador del intento bloqueado: el intento no se guarda y la campana (notificaciones.js:96-108) solo lista membresías vencidas, no accesos denegados.</t>
  </si>
  <si>
    <t>HU-15</t>
  </si>
  <si>
    <t>EV-11</t>
  </si>
  <si>
    <t>Dashboard</t>
  </si>
  <si>
    <t>Mostrar en tiempo real las métricas del día: entradas, miembros activos, gráficas de horas pico y membresías próximas a vencer.</t>
  </si>
  <si>
    <t>GET /api/admin/dashboard: miembros activos (dashboard.js:123, :146), entradas de hoy (:128) y próximos vencimientos a 30 días (:204); listado en DashboardPage.jsx:446-473.</t>
  </si>
  <si>
    <t>Gráfica de horas pico (la gráfica agrupa por día de la semana, dashboard.js:189) y actualización automática (el panel se carga una sola vez, DashboardPage.jsx:165-179).</t>
  </si>
  <si>
    <t>HU-16, HU-41, HU-42, HU-43</t>
  </si>
  <si>
    <t>EV-12</t>
  </si>
  <si>
    <t>Alertas de Abandono</t>
  </si>
  <si>
    <t>Ejecutar diariamente un motor que clasifique a los miembros en Alerta Amarilla (≥ 7 días) y Roja (≥ 15 días) con umbrales configurables y los liste en el panel.</t>
  </si>
  <si>
    <t>Lista de miembros sin ingresar en N días calculada al consultar: campana de avisos (notificaciones.js:125-137; umbral del gimnasio, 15 por defecto, :38 y :66), dashboard (dashboard.js:161, :182) y filtro «En riesgo» de miembros (miembros.js:263, MiembrosPage.jsx:939).</t>
  </si>
  <si>
    <t>Ejecución diaria del motor (el scheduler solo programa vencimientos, scheduler.js:46), los dos niveles Amarilla / Roja, registro en alerta_abandono (tabla sin uso) y pantalla para configurar el umbral (el dashboard usa 15 días fijos).</t>
  </si>
  <si>
    <t>HU-17, HU-18, HU-44</t>
  </si>
  <si>
    <t>EV-13, EV-14</t>
  </si>
  <si>
    <t>RQF-09</t>
  </si>
  <si>
    <t>Enviar mensajes de retención a miembros inactivos por el canal configurado, registrando fecha y estado de cada envío.</t>
  </si>
  <si>
    <t>Botón de WhatsApp con el mensaje armado para miembros en riesgo (MenuNotificaciones.jsx:86-90, MiembrosPage.jsx:796-802); POST /api/admin/notificaciones/enviado guarda canal, estado ENVIADO y fecha en envio_mensaje (notificaciones.js:188-224).</t>
  </si>
  <si>
    <t>Observación: solo WhatsApp por enlace wa.me; el estado no confirma la entrega y el correo no se usa para retención.</t>
  </si>
  <si>
    <t>HU-19, HU-20, HU-52</t>
  </si>
  <si>
    <t>EV-15</t>
  </si>
  <si>
    <t>Campañas</t>
  </si>
  <si>
    <t>Crear, programar y ejecutar campañas dirigidas a segmentos de miembros con plantillas de mensaje reutilizables.</t>
  </si>
  <si>
    <t>Solo existen las tablas campana, campana_destinatario y plantilla_mensaje (migración 002:171-202); ninguna ruta ni pantalla las usa.</t>
  </si>
  <si>
    <t>Todo el módulo: rutas de API, programación de envíos, segmentos y pantalla.</t>
  </si>
  <si>
    <t>HU-21..HU-24, HU-45, HU-46</t>
  </si>
  <si>
    <t>EV-16</t>
  </si>
  <si>
    <t>Santiago (implementar) o recortar alcance</t>
  </si>
  <si>
    <t>Gamificación</t>
  </si>
  <si>
    <t>Calcular automáticamente las rachas de asistencia y mostrar un mensaje motivacional en el check-in al alcanzar un hito configurado.</t>
  </si>
  <si>
    <t>La app del miembro lee hitos y su estado (cliente.js:340-381, gamificacion_screen.dart), pero ningún archivo calcula rachas ni escribe hito_miembro; los datos que existen vienen del script ConsultasDB/Poblar_Tablas.sql:384-419.</t>
  </si>
  <si>
    <t>Cálculo de rachas en cada check-in, otorgar hitos, mensaje en la pantalla de check-in y configuración de hitos por el administrador.</t>
  </si>
  <si>
    <t>HU-25, HU-26, HU-27, HU-47, HU-48</t>
  </si>
  <si>
    <t>EV-17</t>
  </si>
  <si>
    <t>Crear retos de asistencia (meta, duración, segmento, recompensa), registrar el progreso y notificar al completar.</t>
  </si>
  <si>
    <t>La app lista los retos activos con el progreso guardado (cliente.js:392-418), pero no hay ruta ni pantalla para crear retos, el check-in no actualiza reto_miembro y no hay aviso al completar; los retos existentes vienen de ConsultasDB/Poblar_Tablas.sql:456-490.</t>
  </si>
  <si>
    <t>CRUD de retos para el administrador, actualización del progreso en cada check-in y notificación al completar.</t>
  </si>
  <si>
    <t>HU-28..HU-31, HU-49, HU-50</t>
  </si>
  <si>
    <t>EV-18</t>
  </si>
  <si>
    <t>RQF-13</t>
  </si>
  <si>
    <t>Enviar por WhatsApp el contrato de membresía de un miembro, registrando cada envío como constancia.</t>
  </si>
  <si>
    <t>Nuevo</t>
  </si>
  <si>
    <t>POST /api/admin/miembros/:id/contrato/enviar con control de gimnasio (admin-contrato.js:76-92) y registro en contrato_enviado (admin-contrato.js:109-114, migración 008); vista previa e historial por API (:167, :195); botón «Enviar contrato» (MiembrosPage.jsx:855-880, :1735).</t>
  </si>
  <si>
    <t>Observación: depende de que la sesión de WhatsApp del servidor esté autenticada; si no lo está, informa el error y no envía.</t>
  </si>
  <si>
    <t>HU-54</t>
  </si>
  <si>
    <t>EV-19</t>
  </si>
  <si>
    <t>RQF-14</t>
  </si>
  <si>
    <t>Aviso diario automático por WhatsApp de las membresías por vencer, sin duplicados y con ejecución manual.</t>
  </si>
  <si>
    <t>Cron diario a las 9:00 a.m. America/Bogota (scheduler.js:46); selección de planes por vencer y control de duplicados (expiracion.js:43, :74, :94, :117); 0 días desactiva el aviso (expiracion.js:151); POST /api/jobs/expiracion/run y GET /api/jobs/expiracion/preview (jobs.js:27, :38); migraciones 006 y 007.</t>
  </si>
  <si>
    <t>Observación: los días de anticipación (gimnasio.dias_aviso_vencimiento) no tienen pantalla; se definen en la base de datos.</t>
  </si>
  <si>
    <t>HU-55</t>
  </si>
  <si>
    <t>EV-20, EV-21</t>
  </si>
  <si>
    <t>RQF-15</t>
  </si>
  <si>
    <t>Suscripción SaaS</t>
  </si>
  <si>
    <t>Registro del gimnasio con su administrador y prueba gratuita de 14 días; al vencer, bloqueo de operaciones.</t>
  </si>
  <si>
    <t>POST /api/auth/signup crea gimnasio y administrador con trial_ends_at (auth.js:100, :126-138); TRIAL_DAYS = 14 (trial.js:17, render.yaml); requireActiveTrial responde 402 TRIAL_EXPIRED (trial.js:52-74) en miembros, check-in, dashboard, configuración y personal; días restantes en el panel (AdminLayout.jsx:155).</t>
  </si>
  <si>
    <t>Observación: comentarios desactualizados dicen 7 días (auth.js:6, :98; trial.js:7). No hay activación de plan pago.</t>
  </si>
  <si>
    <t>HU-56</t>
  </si>
  <si>
    <t>EV-22</t>
  </si>
  <si>
    <t>RQF-16</t>
  </si>
  <si>
    <t>App Móvil del Miembro</t>
  </si>
  <si>
    <t>App móvil del miembro: inicio de sesión con teléfono y contraseña, y consulta de QR, plan vigente y asistencia.</t>
  </si>
  <si>
    <t>POST /api/cliente/login con teléfono y contraseña bcrypt (cliente.js:51, :88) y JWT de 30 días (auth-helpers.js:145); rutas protegidas con requireClient (cliente.js:112); /qr, /membresia, /asistencia y PUT /me (cliente.js:227, :259, :292, :171); app Flutter: login_screen.dart, qr_tab.dart, plan_tab.dart, asistencia_screen.dart; token en FlutterSecureStorage (api_client.dart:41).</t>
  </si>
  <si>
    <t>Observación: la app no tiene pruebas automatizadas reales (widget_test.dart es una prueba mínima de arranque).</t>
  </si>
  <si>
    <t>HU-57, HU-58</t>
  </si>
  <si>
    <t>EV-23, EV-24</t>
  </si>
  <si>
    <t>Matriz RNF — trazabilidad contra el código (main @ 54b19fa, verificado 2026-10-16)</t>
  </si>
  <si>
    <t>Categoría</t>
  </si>
  <si>
    <t>Rendimiento</t>
  </si>
  <si>
    <t>Procesar y confirmar cada check-in en un máximo de 2 segundos desde la lectura del dispositivo HID.</t>
  </si>
  <si>
    <t>No hay medición registrada.</t>
  </si>
  <si>
    <t>Medir y documentar (p. ej. 30 check-ins contra el entorno desplegado, tiempo de respuesta de POST /api/admin/checkin). Riesgo: si el QR no coincide directo, checkin.js:83-101 descifra en memoria los QR de todos los miembros del gimnasio.</t>
  </si>
  <si>
    <t>EV-25</t>
  </si>
  <si>
    <t>Luis o Santiago (medir)</t>
  </si>
  <si>
    <t>Disponibilidad</t>
  </si>
  <si>
    <t>Disponibilidad mínima del 99 % en el horario del gimnasio (5:00 a.m. – 10:00 p.m.).</t>
  </si>
  <si>
    <t>Existen /api/healthz y /api/health (index.js:101, :103), pero no hay monitoreo ni reporte de disponibilidad.</t>
  </si>
  <si>
    <t>Monitor externo sobre /api/healthz con reporte del período; el plan gratuito de Render suspende el servicio por inactividad (scheduler.js:9-10).</t>
  </si>
  <si>
    <t>EV-26</t>
  </si>
  <si>
    <t>Luis (monitorear)</t>
  </si>
  <si>
    <t>RQNF-03</t>
  </si>
  <si>
    <t>Seguridad</t>
  </si>
  <si>
    <t>Contraseñas del personal con hash bcrypt y comunicaciones bajo HTTPS.</t>
  </si>
  <si>
    <t>bcrypt.hash / compare en registro, login, restablecimiento e invitación (auth.js:145, :231, :447; staff.js:431) y para miembros (miembros.js:388, :625; cliente.js:88); API de producción por HTTPS (frontend/src/api.js:26) y frontend en Vercel con HTTPS.</t>
  </si>
  <si>
    <t>Observación: la clave de cifrado del QR tiene un valor por defecto en el código (miembros.js:36, checkin.js:19).</t>
  </si>
  <si>
    <t>EV-27</t>
  </si>
  <si>
    <t>Usabilidad</t>
  </si>
  <si>
    <t>Check-in operable por personal sin formación técnica, con no más de 2 interacciones para registrar una entrada manual.</t>
  </si>
  <si>
    <t>Registro manual en 2 interacciones: escribir el documento y pulsar «Registrar» (CheckinPage.jsx:333, :341-347); el código QR se envía con Enter (CheckinPage.jsx:221-223).</t>
  </si>
  <si>
    <t>Prueba de usabilidad documentada con personal sin formación técnica (p. ej. 3 personas, conteo de interacciones y tiempo).</t>
  </si>
  <si>
    <t>EV-28</t>
  </si>
  <si>
    <t>Luis (probar)</t>
  </si>
  <si>
    <t>RQNF-05</t>
  </si>
  <si>
    <t>Escalabilidad</t>
  </si>
  <si>
    <t>Soportar múltiples gimnasios (multitenancy) sin degradación ni cambios en el código base.</t>
  </si>
  <si>
    <t>Cada gimnasio nuevo se crea por registro, sin tocar código (auth.js:100, :134); las consultas filtran por el id_gimnasio del token (p. ej. miembros.js:358, checkin.js:76, dashboard.js:123, notificaciones.js:199); el contrato verifica el gimnasio (admin-contrato.js:92).</t>
  </si>
  <si>
    <t>Observación: no hay prueba de carga que respalde «sin degradación del rendimiento».</t>
  </si>
  <si>
    <t>EV-29</t>
  </si>
  <si>
    <t>Compatibilidad</t>
  </si>
  <si>
    <t>Funcionar en Chrome, Firefox y Edge (dos últimas versiones) sin instalar software adicional.</t>
  </si>
  <si>
    <t>Aplicación web React / Vite servida por Vercel que solo requiere navegador (frontend/package.json, vercel.json); QA responsive a 375 px (Evidencias_Sustentacion/QA_Responsive_375px.md).</t>
  </si>
  <si>
    <t>Prueba documentada en Chrome, Firefox y Edge (lista de verificación de las pantallas principales con capturas).</t>
  </si>
  <si>
    <t>EV-30</t>
  </si>
  <si>
    <t>Mantenibilidad</t>
  </si>
  <si>
    <t>Arquitectura en capas documentada y cobertura mínima del 70 % en check-in y alertas de abandono.</t>
  </si>
  <si>
    <t>Capas en backend/src (routes, lib, middleware, jobs, db) y diagrama de arquitectura en el documento (sección 8). Cobertura medida el 2026-10-16: 0 % en routes/checkin.js y routes/notificaciones.js, 1,48 % de líneas en todo el backend; 23 pruebas, 2 fallan.</t>
  </si>
  <si>
    <t>Script «test» en backend/package.json, pruebas de check-in y alertas hasta ≥ 70 % y corregir las 2 pruebas que fallan.</t>
  </si>
  <si>
    <t>EV-31, EV-32</t>
  </si>
  <si>
    <t>RQNF-08</t>
  </si>
  <si>
    <t>Portabilidad</t>
  </si>
  <si>
    <t>Desplegar en servicios de nube mediante contenedores Docker, sin infraestructura física local.</t>
  </si>
  <si>
    <t>backend/Dockerfile (node:24-alpine, multietapa), frontend/Dockerfile + nginx.conf y docker-compose.yml; despliegue en la nube en Render y Vercel (render.yaml, vercel.json).</t>
  </si>
  <si>
    <t>Observación: no se verificó la construcción de la imagen (Docker Desktop apagado) y Render usa el entorno Node nativo, no el contenedor. Sugerencia: agregar docker build al CI.</t>
  </si>
  <si>
    <t>EV-33</t>
  </si>
  <si>
    <t>RQNF-09</t>
  </si>
  <si>
    <t>Validación automática en integración continua (GitHub Actions) en cada pull request y en main.</t>
  </si>
  <si>
    <t>.github/workflows/ci.yml corre en pull_request y en push a main (:3-6): el job rama valida el nombre de la rama en cada PR (:13-26), backend npm ci + node --check (:42-44) y frontend npm ci + build (:58-59); ejecución exitosa en main 8acab31 (pestaña Actions).</t>
  </si>
  <si>
    <t>Observación: el CI todavía no corre pruebas ni mide cobertura.</t>
  </si>
  <si>
    <t>EV-34</t>
  </si>
  <si>
    <t>Evidencias verificadas (main @ 54b19fa, 2026-10-16)</t>
  </si>
  <si>
    <t>Cada evidencia es un archivo y línea del repositorio, un endpoint, una medición guardada en docs/evidencias o una ejecución del CI. Las rutas son relativas a la raíz del repositorio.</t>
  </si>
  <si>
    <t>ID</t>
  </si>
  <si>
    <t>Tipo</t>
  </si>
  <si>
    <t>Ubicación (archivo:línea, endpoint o enlace)</t>
  </si>
  <si>
    <t>Qué demuestra</t>
  </si>
  <si>
    <t>Fecha de verificación</t>
  </si>
  <si>
    <t>Verificado por</t>
  </si>
  <si>
    <t>EV-01</t>
  </si>
  <si>
    <t>backend/src/routes/staff.js:109, :198, :227, :329, :384</t>
  </si>
  <si>
    <t>Invitar, listar y revocar personal; aceptar la invitación crea la cuenta.</t>
  </si>
  <si>
    <t>2026-10-16</t>
  </si>
  <si>
    <t>Agente ejecutor (Claude)</t>
  </si>
  <si>
    <t>EV-02</t>
  </si>
  <si>
    <t>backend/src/routes/staff.js:112; miembros.js:667; checkin.js:57; middleware/auth.js:29</t>
  </si>
  <si>
    <t>Permisos distintos para Administrador y Recepcionista.</t>
  </si>
  <si>
    <t>EV-03</t>
  </si>
  <si>
    <t>backend/src/routes/auth.js:200, :231, :295; frontend/src/context/AuthContext.jsx:95</t>
  </si>
  <si>
    <t>Login con bcrypt + JWT y cierre de sesión manual.</t>
  </si>
  <si>
    <t>EV-04</t>
  </si>
  <si>
    <t>Código (hallazgo)</t>
  </si>
  <si>
    <t>backend/src/lib/auth-helpers.js:102-113</t>
  </si>
  <si>
    <t>generarToken no aplica JWT_EXPIRES_IN: el token del personal no expira.</t>
  </si>
  <si>
    <t>EV-05</t>
  </si>
  <si>
    <t>backend/src/routes/miembros.js:357-369, :371-379</t>
  </si>
  <si>
    <t>Rechazo de documento / correo duplicado y QR único.</t>
  </si>
  <si>
    <t>EV-06</t>
  </si>
  <si>
    <t>backend/src/routes/miembros.js:607, :664-675; frontend/src/pages/MiembrosPage.jsx:627, :919, :442</t>
  </si>
  <si>
    <t>Editar y desactivar (soft delete) desde la pantalla de miembros.</t>
  </si>
  <si>
    <t>EV-07</t>
  </si>
  <si>
    <t>backend/src/routes/miembros.js:185, :382, :276-284, :754</t>
  </si>
  <si>
    <t>Fecha de vencimiento automática, estado vencido / por vencer y renovación.</t>
  </si>
  <si>
    <t>EV-08</t>
  </si>
  <si>
    <t>Esquema</t>
  </si>
  <si>
    <t>backend/migrations/002_esquema_inicial.sql:217</t>
  </si>
  <si>
    <t>congelacion_membresia existe pero no se usa (falta Congelada).</t>
  </si>
  <si>
    <t>EV-09</t>
  </si>
  <si>
    <t>frontend/src/pages/CheckinPage.jsx:66, :221-223, :329-331</t>
  </si>
  <si>
    <t>Lectura HID tipo teclado (autoFocus + Enter) y por cámara.</t>
  </si>
  <si>
    <t>EV-10</t>
  </si>
  <si>
    <t>Código / esquema</t>
  </si>
  <si>
    <t>backend/src/routes/checkin.js:54, :167-172; backend/migrations/002_esquema_inicial.sql:100</t>
  </si>
  <si>
    <t>Inserción del ingreso con marca de tiempo automática.</t>
  </si>
  <si>
    <t>backend/src/routes/checkin.js:116-136; frontend/src/pages/CheckinPage.jsx:133-143</t>
  </si>
  <si>
    <t>Bloqueo de membresía vencida; no hay aviso del intento al administrador.</t>
  </si>
  <si>
    <t>backend/src/routes/dashboard.js:123, :128, :146, :189, :204; frontend/src/pages/DashboardPage.jsx:165-179, :446-473</t>
  </si>
  <si>
    <t>KPIs del día y próximos vencimientos; gráfica por día de semana; carga única.</t>
  </si>
  <si>
    <t>EV-13</t>
  </si>
  <si>
    <t>backend/src/routes/notificaciones.js:38, :66, :125-137; dashboard.js:161, :182; miembros.js:263</t>
  </si>
  <si>
    <t>Lista de miembros en riesgo calculada al consultar, un solo umbral.</t>
  </si>
  <si>
    <t>EV-14</t>
  </si>
  <si>
    <t>backend/src/jobs/scheduler.js:46</t>
  </si>
  <si>
    <t>El único cron programado es el de vencimientos (no hay motor de abandono).</t>
  </si>
  <si>
    <t>frontend/src/components/MenuNotificaciones.jsx:86-90; MiembrosPage.jsx:796-802; backend/src/routes/notificaciones.js:188-224</t>
  </si>
  <si>
    <t>Envío por WhatsApp y registro en envio_mensaje con fecha y estado.</t>
  </si>
  <si>
    <t>backend/migrations/002_esquema_inicial.sql:171-202</t>
  </si>
  <si>
    <t>Tablas de campañas y plantillas sin rutas ni pantalla.</t>
  </si>
  <si>
    <t>Código / datos</t>
  </si>
  <si>
    <t>backend/src/routes/cliente.js:340-381; ConsultasDB/Poblar_Tablas.sql:384-419</t>
  </si>
  <si>
    <t>Hitos solo de lectura, cargados por SQL; no hay cálculo de rachas.</t>
  </si>
  <si>
    <t>backend/src/routes/cliente.js:392-418; ConsultasDB/Poblar_Tablas.sql:456-490</t>
  </si>
  <si>
    <t>Retos solo de lectura, cargados por SQL; sin CRUD ni progreso automático.</t>
  </si>
  <si>
    <t>backend/src/routes/admin-contrato.js:76-114, :167, :195; backend/migrations/008_contrato_enviado.sql; MiembrosPage.jsx:855-880</t>
  </si>
  <si>
    <t>Envío del contrato por WhatsApp con registro de cada envío.</t>
  </si>
  <si>
    <t>EV-20</t>
  </si>
  <si>
    <t>backend/src/jobs/scheduler.js:46; backend/src/jobs/expiracion.js:43, :74, :94, :117, :151</t>
  </si>
  <si>
    <t>Aviso diario automático de vencimiento, sin duplicados.</t>
  </si>
  <si>
    <t>EV-21</t>
  </si>
  <si>
    <t>backend/src/routes/jobs.js:27, :38; backend/migrations/006_gimnasio_dias_aviso.sql; 007_alerta_vencimiento_enviada.sql</t>
  </si>
  <si>
    <t>Ejecución manual y vista previa; días de aviso y anti-duplicado en BD.</t>
  </si>
  <si>
    <t>Código / configuración</t>
  </si>
  <si>
    <t>backend/src/routes/auth.js:100, :126-138; backend/src/lib/trial.js:17, :52-74; render.yaml (TRIAL_DAYS = 14); frontend/src/components/AdminLayout.jsx:155</t>
  </si>
  <si>
    <t>Registro con prueba de 14 días y bloqueo 402 al vencer.</t>
  </si>
  <si>
    <t>EV-23</t>
  </si>
  <si>
    <t>backend/src/routes/cliente.js:51, :88, :112, :171, :227, :259, :292; backend/src/lib/auth-helpers.js:145</t>
  </si>
  <si>
    <t>API de la app: login del miembro y consultas protegidas.</t>
  </si>
  <si>
    <t>EV-24</t>
  </si>
  <si>
    <t>Código (Flutter)</t>
  </si>
  <si>
    <t>fitloyalty_cliente/lib/cliente/screens/login_screen.dart, qr_tab.dart, plan_tab.dart, asistencia_screen.dart; services/api_client.dart:41</t>
  </si>
  <si>
    <t>Pantallas de la app móvil y almacenamiento seguro del token.</t>
  </si>
  <si>
    <t>Sin medición</t>
  </si>
  <si>
    <t>— (riesgo en backend/src/routes/checkin.js:83-101)</t>
  </si>
  <si>
    <t>No hay evidencia de tiempos; posible lentitud con muchos miembros.</t>
  </si>
  <si>
    <t>backend/src/index.js:101, :103</t>
  </si>
  <si>
    <t>Endpoints de salud disponibles para monitoreo; sin reporte.</t>
  </si>
  <si>
    <t>backend/src/routes/auth.js:145, :231, :447; staff.js:431; miembros.js:388, :625; cliente.js:88; frontend/src/api.js:26</t>
  </si>
  <si>
    <t>bcrypt en todas las contraseñas y API por HTTPS.</t>
  </si>
  <si>
    <t>frontend/src/pages/CheckinPage.jsx:221-223, :333, :341-347</t>
  </si>
  <si>
    <t>Flujo manual de 2 interacciones (sin prueba con usuarios).</t>
  </si>
  <si>
    <t>backend/src/routes/auth.js:100, :134; miembros.js:358; checkin.js:76; dashboard.js:123; notificaciones.js:199; admin-contrato.js:92</t>
  </si>
  <si>
    <t>Alta de gimnasios sin código y aislamiento por id_gimnasio.</t>
  </si>
  <si>
    <t>Documento</t>
  </si>
  <si>
    <t>Evidencias_Sustentacion/QA_Responsive_375px.md; frontend/package.json; vercel.json</t>
  </si>
  <si>
    <t>App web sin instalación; sin prueba en los 3 navegadores.</t>
  </si>
  <si>
    <t>EV-31</t>
  </si>
  <si>
    <t>Medición</t>
  </si>
  <si>
    <t>docs/evidencias/cobertura-backend-2026-10-16.txt</t>
  </si>
  <si>
    <t>Cobertura 0 % en checkin.js y notificaciones.js; 23 pruebas, 2 fallan.</t>
  </si>
  <si>
    <t>EV-32</t>
  </si>
  <si>
    <t>backend/src/{routes,lib,middleware,jobs,db}; backend/package.json (sin script test); backend/jest.config.js:15-18</t>
  </si>
  <si>
    <t>Arquitectura en capas; las pruebas no se ejecutan con npm test.</t>
  </si>
  <si>
    <t>Configuración</t>
  </si>
  <si>
    <t>backend/Dockerfile; frontend/Dockerfile; frontend/nginx.conf; docker-compose.yml; render.yaml; vercel.json</t>
  </si>
  <si>
    <t>Contenedores definidos y despliegue en nube.</t>
  </si>
  <si>
    <t>Configuración / ejecución</t>
  </si>
  <si>
    <t>.github/workflows/ci.yml:3-6, :13-26, :42-44, :58-59; https://github.com/Luis140721/Proyecto_Fitloyalty/actions (CI en main 8acab31: success)</t>
  </si>
  <si>
    <t>CI en cada PR y en main: nombre de rama, instalación limpia, sintaxis y build.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</si>
</sst>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8" x14ac:knownFonts="1">
    <font>
      <sz val="11"/>
      <color theme="1"/>
      <name val="Calibri"/>
      <family val="2"/>
      <scheme val="minor"/>
    </font>
    <font>
      <b/>
      <sz val="16"/>
      <color rgb="FF1F3B08"/>
      <name val="Arial"/>
    </font>
    <font>
      <i/>
      <sz val="10"/>
      <color rgb="FF595959"/>
      <name val="Arial"/>
    </font>
    <font>
      <b/>
      <sz val="10"/>
      <name val="Arial"/>
    </font>
    <font>
      <b/>
      <sz val="10"/>
      <color rgb="FFFFFFFF"/>
      <name val="Arial"/>
    </font>
    <font>
      <sz val="10"/>
      <name val="Arial"/>
    </font>
    <font>
      <b/>
      <sz val="10"/>
      <color rgb="FF0000FF"/>
      <name val="Arial"/>
    </font>
    <font>
      <b/>
      <sz val="14"/>
      <color rgb="FF1F3B08"/>
      <name val="Arial"/>
    </font>
  </fonts>
  <fills count="5">
    <fill>
      <patternFill patternType="none"/>
    </fill>
    <fill>
      <patternFill patternType="gray125"/>
    </fill>
    <fill>
      <patternFill patternType="solid">
        <fgColor rgb="FF39A900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9" fontId="5" fillId="0" borderId="1" xfId="0" applyNumberFormat="1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5" fontId="3" fillId="3" borderId="1" xfId="0" applyNumberFormat="1" applyFont="1" applyFill="1" applyBorder="1" applyAlignment="1">
      <alignment horizontal="center" vertical="center" wrapText="1"/>
    </xf>
    <xf numFmtId="9" fontId="3" fillId="3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/>
    <xf numFmtId="164" fontId="6" fillId="4" borderId="1" xfId="0" applyNumberFormat="1" applyFont="1" applyFill="1" applyBorder="1"/>
    <xf numFmtId="9" fontId="6" fillId="4" borderId="1" xfId="0" applyNumberFormat="1" applyFont="1" applyFill="1" applyBorder="1"/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164" fontId="5" fillId="0" borderId="1" xfId="0" applyNumberFormat="1" applyFont="1" applyBorder="1" applyAlignment="1">
      <alignment horizontal="center" vertical="top" wrapText="1"/>
    </xf>
    <xf numFmtId="165" fontId="5" fillId="0" borderId="1" xfId="0" applyNumberFormat="1" applyFont="1" applyBorder="1" applyAlignment="1">
      <alignment horizontal="center" vertical="top" wrapText="1"/>
    </xf>
    <xf numFmtId="0" fontId="7" fillId="0" borderId="0" xfId="0" applyFont="1"/>
    <xf numFmtId="0" fontId="3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13"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Avance real vs. meta (alcance actualizado)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Resumen!$H$6</c:f>
              <c:strCache>
                <c:ptCount val="1"/>
                <c:pt idx="0">
                  <c:v>Avance</c:v>
                </c:pt>
              </c:strCache>
            </c:strRef>
          </c:tx>
          <c:spPr>
            <a:solidFill>
              <a:srgbClr val="39A900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Resumen!$A$7:$A$9</c:f>
              <c:strCache>
                <c:ptCount val="3"/>
                <c:pt idx="0">
                  <c:v>Requisitos funcionales (RF)</c:v>
                </c:pt>
                <c:pt idx="1">
                  <c:v>Requisitos no funcionales (RNF)</c:v>
                </c:pt>
                <c:pt idx="2">
                  <c:v>Global</c:v>
                </c:pt>
              </c:strCache>
            </c:strRef>
          </c:cat>
          <c:val>
            <c:numRef>
              <c:f>Resumen!$H$7:$H$9</c:f>
              <c:numCache>
                <c:formatCode>0.0%</c:formatCode>
                <c:ptCount val="3"/>
                <c:pt idx="0">
                  <c:v>0.625</c:v>
                </c:pt>
                <c:pt idx="1">
                  <c:v>0.61111111111111116</c:v>
                </c:pt>
                <c:pt idx="2">
                  <c:v>0.62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F9B-4E09-ADF8-D06A1030C661}"/>
            </c:ext>
          </c:extLst>
        </c:ser>
        <c:ser>
          <c:idx val="1"/>
          <c:order val="1"/>
          <c:tx>
            <c:strRef>
              <c:f>Resumen!$I$6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BFBFBF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Resumen!$A$7:$A$9</c:f>
              <c:strCache>
                <c:ptCount val="3"/>
                <c:pt idx="0">
                  <c:v>Requisitos funcionales (RF)</c:v>
                </c:pt>
                <c:pt idx="1">
                  <c:v>Requisitos no funcionales (RNF)</c:v>
                </c:pt>
                <c:pt idx="2">
                  <c:v>Global</c:v>
                </c:pt>
              </c:strCache>
            </c:strRef>
          </c:cat>
          <c:val>
            <c:numRef>
              <c:f>Resumen!$I$7:$I$9</c:f>
              <c:numCache>
                <c:formatCode>0%</c:formatCode>
                <c:ptCount val="3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9B-4E09-ADF8-D06A1030C66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25</xdr:row>
      <xdr:rowOff>0</xdr:rowOff>
    </xdr:from>
    <xdr:ext cx="792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9"/>
  <sheetViews>
    <sheetView showGridLines="0" tabSelected="1" workbookViewId="0"/>
  </sheetViews>
  <sheetFormatPr baseColWidth="10" defaultColWidth="8.88671875" defaultRowHeight="14.4" x14ac:dyDescent="0.3"/>
  <cols>
    <col min="1" max="1" width="44" customWidth="1"/>
    <col min="2" max="2" width="9" customWidth="1"/>
    <col min="3" max="3" width="17" customWidth="1"/>
    <col min="4" max="4" width="14" customWidth="1"/>
    <col min="5" max="5" width="16" customWidth="1"/>
    <col min="6" max="6" width="13" customWidth="1"/>
    <col min="7" max="7" width="12" customWidth="1"/>
    <col min="8" max="8" width="11" customWidth="1"/>
    <col min="9" max="9" width="9" customWidth="1"/>
    <col min="10" max="10" width="18" customWidth="1"/>
  </cols>
  <sheetData>
    <row r="1" spans="1:10" ht="21" x14ac:dyDescent="0.4">
      <c r="A1" s="1" t="s">
        <v>0</v>
      </c>
    </row>
    <row r="2" spans="1:10" x14ac:dyDescent="0.3">
      <c r="A2" s="2" t="s">
        <v>1</v>
      </c>
    </row>
    <row r="3" spans="1:10" x14ac:dyDescent="0.3">
      <c r="A3" s="2" t="s">
        <v>2</v>
      </c>
    </row>
    <row r="5" spans="1:10" x14ac:dyDescent="0.3">
      <c r="A5" s="3" t="s">
        <v>3</v>
      </c>
    </row>
    <row r="6" spans="1:10" ht="26.4" x14ac:dyDescent="0.3">
      <c r="A6" s="4" t="s">
        <v>4</v>
      </c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 t="s">
        <v>10</v>
      </c>
      <c r="H6" s="4" t="s">
        <v>11</v>
      </c>
      <c r="I6" s="4" t="s">
        <v>12</v>
      </c>
      <c r="J6" s="4" t="s">
        <v>13</v>
      </c>
    </row>
    <row r="7" spans="1:10" x14ac:dyDescent="0.3">
      <c r="A7" s="5" t="s">
        <v>14</v>
      </c>
      <c r="B7" s="6">
        <f>COUNTIFS('Matriz RF'!$A$5:$A$100,"RQF-*")</f>
        <v>16</v>
      </c>
      <c r="C7" s="6">
        <f>COUNTIFS('Matriz RF'!$E$5:$E$100,"Implementado")</f>
        <v>7</v>
      </c>
      <c r="D7" s="6">
        <f>COUNTIFS('Matriz RF'!$E$5:$E$100,"Parcial")</f>
        <v>6</v>
      </c>
      <c r="E7" s="6">
        <f>COUNTIFS('Matriz RF'!$E$5:$E$100,"No implementado")</f>
        <v>3</v>
      </c>
      <c r="F7" s="6">
        <f>COUNTIFS('Matriz RF'!$E$5:$E$100,"Sin evidencia")</f>
        <v>0</v>
      </c>
      <c r="G7" s="7">
        <f>SUM('Matriz RF'!$F$5:$F$100)</f>
        <v>10</v>
      </c>
      <c r="H7" s="8">
        <f>IF(B7=0,0,G7/B7)</f>
        <v>0.625</v>
      </c>
      <c r="I7" s="9">
        <f>$B$23</f>
        <v>0.8</v>
      </c>
      <c r="J7" s="7">
        <f>MAX(0,I7*B7-G7)</f>
        <v>2.8000000000000007</v>
      </c>
    </row>
    <row r="8" spans="1:10" x14ac:dyDescent="0.3">
      <c r="A8" s="5" t="s">
        <v>15</v>
      </c>
      <c r="B8" s="6">
        <f>COUNTIFS('Matriz RNF'!$A$5:$A$100,"RQNF-*")</f>
        <v>9</v>
      </c>
      <c r="C8" s="6">
        <f>COUNTIFS('Matriz RNF'!$E$5:$E$100,"Implementado")</f>
        <v>4</v>
      </c>
      <c r="D8" s="6">
        <f>COUNTIFS('Matriz RNF'!$E$5:$E$100,"Parcial")</f>
        <v>3</v>
      </c>
      <c r="E8" s="6">
        <f>COUNTIFS('Matriz RNF'!$E$5:$E$100,"No implementado")</f>
        <v>0</v>
      </c>
      <c r="F8" s="6">
        <f>COUNTIFS('Matriz RNF'!$E$5:$E$100,"Sin evidencia")</f>
        <v>2</v>
      </c>
      <c r="G8" s="7">
        <f>SUM('Matriz RNF'!$F$5:$F$100)</f>
        <v>5.5</v>
      </c>
      <c r="H8" s="8">
        <f>IF(B8=0,0,G8/B8)</f>
        <v>0.61111111111111116</v>
      </c>
      <c r="I8" s="9">
        <f>$B$23</f>
        <v>0.8</v>
      </c>
      <c r="J8" s="7">
        <f>MAX(0,I8*B8-G8)</f>
        <v>1.7000000000000002</v>
      </c>
    </row>
    <row r="9" spans="1:10" x14ac:dyDescent="0.3">
      <c r="A9" s="10" t="s">
        <v>16</v>
      </c>
      <c r="B9" s="11">
        <f t="shared" ref="B9:G9" si="0">B7+B8</f>
        <v>25</v>
      </c>
      <c r="C9" s="11">
        <f t="shared" si="0"/>
        <v>11</v>
      </c>
      <c r="D9" s="11">
        <f t="shared" si="0"/>
        <v>9</v>
      </c>
      <c r="E9" s="11">
        <f t="shared" si="0"/>
        <v>3</v>
      </c>
      <c r="F9" s="11">
        <f t="shared" si="0"/>
        <v>2</v>
      </c>
      <c r="G9" s="12">
        <f t="shared" si="0"/>
        <v>15.5</v>
      </c>
      <c r="H9" s="13">
        <f>IF(B9=0,0,G9/B9)</f>
        <v>0.62</v>
      </c>
      <c r="I9" s="14">
        <f>$B$23</f>
        <v>0.8</v>
      </c>
      <c r="J9" s="12">
        <f>MAX(0,I9*B9-G9)</f>
        <v>4.5</v>
      </c>
    </row>
    <row r="11" spans="1:10" x14ac:dyDescent="0.3">
      <c r="A11" s="3" t="s">
        <v>17</v>
      </c>
    </row>
    <row r="12" spans="1:10" ht="26.4" x14ac:dyDescent="0.3">
      <c r="A12" s="4" t="s">
        <v>4</v>
      </c>
      <c r="B12" s="4" t="s">
        <v>5</v>
      </c>
      <c r="C12" s="4" t="s">
        <v>6</v>
      </c>
      <c r="D12" s="4" t="s">
        <v>7</v>
      </c>
      <c r="E12" s="4" t="s">
        <v>8</v>
      </c>
      <c r="F12" s="4" t="s">
        <v>9</v>
      </c>
      <c r="G12" s="4" t="s">
        <v>10</v>
      </c>
      <c r="H12" s="4" t="s">
        <v>11</v>
      </c>
      <c r="I12" s="4" t="s">
        <v>12</v>
      </c>
      <c r="J12" s="4" t="s">
        <v>13</v>
      </c>
    </row>
    <row r="13" spans="1:10" x14ac:dyDescent="0.3">
      <c r="A13" s="5" t="s">
        <v>18</v>
      </c>
      <c r="B13" s="6">
        <f>COUNTIFS('Matriz RF'!$A$5:$A$100,"RQF-*",'Matriz RF'!$D$5:$D$100,"Original")</f>
        <v>12</v>
      </c>
      <c r="C13" s="6">
        <f>COUNTIFS('Matriz RF'!$E$5:$E$100,"Implementado",'Matriz RF'!$D$5:$D$100,"Original")</f>
        <v>3</v>
      </c>
      <c r="D13" s="6">
        <f>COUNTIFS('Matriz RF'!$E$5:$E$100,"Parcial",'Matriz RF'!$D$5:$D$100,"Original")</f>
        <v>6</v>
      </c>
      <c r="E13" s="6">
        <f>COUNTIFS('Matriz RF'!$E$5:$E$100,"No implementado",'Matriz RF'!$D$5:$D$100,"Original")</f>
        <v>3</v>
      </c>
      <c r="F13" s="6">
        <f>COUNTIFS('Matriz RF'!$E$5:$E$100,"Sin evidencia",'Matriz RF'!$D$5:$D$100,"Original")</f>
        <v>0</v>
      </c>
      <c r="G13" s="7">
        <f>SUMIFS('Matriz RF'!$F$5:$F$100,'Matriz RF'!$D$5:$D$100,"Original")</f>
        <v>6</v>
      </c>
      <c r="H13" s="8">
        <f>IF(B13=0,0,G13/B13)</f>
        <v>0.5</v>
      </c>
      <c r="I13" s="9">
        <f>$B$23</f>
        <v>0.8</v>
      </c>
      <c r="J13" s="7">
        <f>MAX(0,I13*B13-G13)</f>
        <v>3.6000000000000014</v>
      </c>
    </row>
    <row r="14" spans="1:10" x14ac:dyDescent="0.3">
      <c r="A14" s="5" t="s">
        <v>19</v>
      </c>
      <c r="B14" s="6">
        <f>COUNTIFS('Matriz RNF'!$A$5:$A$100,"RQNF-*",'Matriz RNF'!$D$5:$D$100,"Original")</f>
        <v>8</v>
      </c>
      <c r="C14" s="6">
        <f>COUNTIFS('Matriz RNF'!$E$5:$E$100,"Implementado",'Matriz RNF'!$D$5:$D$100,"Original")</f>
        <v>3</v>
      </c>
      <c r="D14" s="6">
        <f>COUNTIFS('Matriz RNF'!$E$5:$E$100,"Parcial",'Matriz RNF'!$D$5:$D$100,"Original")</f>
        <v>3</v>
      </c>
      <c r="E14" s="6">
        <f>COUNTIFS('Matriz RNF'!$E$5:$E$100,"No implementado",'Matriz RNF'!$D$5:$D$100,"Original")</f>
        <v>0</v>
      </c>
      <c r="F14" s="6">
        <f>COUNTIFS('Matriz RNF'!$E$5:$E$100,"Sin evidencia",'Matriz RNF'!$D$5:$D$100,"Original")</f>
        <v>2</v>
      </c>
      <c r="G14" s="7">
        <f>SUMIFS('Matriz RNF'!$F$5:$F$100,'Matriz RNF'!$D$5:$D$100,"Original")</f>
        <v>4.5</v>
      </c>
      <c r="H14" s="8">
        <f>IF(B14=0,0,G14/B14)</f>
        <v>0.5625</v>
      </c>
      <c r="I14" s="9">
        <f>$B$23</f>
        <v>0.8</v>
      </c>
      <c r="J14" s="7">
        <f>MAX(0,I14*B14-G14)</f>
        <v>1.9000000000000004</v>
      </c>
    </row>
    <row r="15" spans="1:10" x14ac:dyDescent="0.3">
      <c r="A15" s="10" t="s">
        <v>20</v>
      </c>
      <c r="B15" s="11">
        <f t="shared" ref="B15:G15" si="1">B13+B14</f>
        <v>20</v>
      </c>
      <c r="C15" s="11">
        <f t="shared" si="1"/>
        <v>6</v>
      </c>
      <c r="D15" s="11">
        <f t="shared" si="1"/>
        <v>9</v>
      </c>
      <c r="E15" s="11">
        <f t="shared" si="1"/>
        <v>3</v>
      </c>
      <c r="F15" s="11">
        <f t="shared" si="1"/>
        <v>2</v>
      </c>
      <c r="G15" s="12">
        <f t="shared" si="1"/>
        <v>10.5</v>
      </c>
      <c r="H15" s="13">
        <f>IF(B15=0,0,G15/B15)</f>
        <v>0.52500000000000002</v>
      </c>
      <c r="I15" s="14">
        <f>$B$23</f>
        <v>0.8</v>
      </c>
      <c r="J15" s="12">
        <f>MAX(0,I15*B15-G15)</f>
        <v>5.5</v>
      </c>
    </row>
    <row r="17" spans="1:3" x14ac:dyDescent="0.3">
      <c r="A17" s="3" t="s">
        <v>21</v>
      </c>
    </row>
    <row r="18" spans="1:3" x14ac:dyDescent="0.3">
      <c r="A18" s="15" t="s">
        <v>22</v>
      </c>
      <c r="B18" s="16">
        <v>1</v>
      </c>
      <c r="C18" s="2" t="s">
        <v>23</v>
      </c>
    </row>
    <row r="19" spans="1:3" x14ac:dyDescent="0.3">
      <c r="A19" s="15" t="s">
        <v>24</v>
      </c>
      <c r="B19" s="16">
        <v>0.5</v>
      </c>
    </row>
    <row r="20" spans="1:3" x14ac:dyDescent="0.3">
      <c r="A20" s="15" t="s">
        <v>25</v>
      </c>
      <c r="B20" s="16">
        <v>0</v>
      </c>
    </row>
    <row r="21" spans="1:3" x14ac:dyDescent="0.3">
      <c r="A21" s="15" t="s">
        <v>9</v>
      </c>
      <c r="B21" s="16">
        <v>0</v>
      </c>
    </row>
    <row r="23" spans="1:3" x14ac:dyDescent="0.3">
      <c r="A23" s="3" t="s">
        <v>26</v>
      </c>
      <c r="B23" s="17">
        <v>0.8</v>
      </c>
      <c r="C23" s="2" t="s">
        <v>27</v>
      </c>
    </row>
    <row r="43" spans="1:7" x14ac:dyDescent="0.3">
      <c r="A43" s="3" t="s">
        <v>28</v>
      </c>
    </row>
    <row r="44" spans="1:7" ht="39.6" x14ac:dyDescent="0.3">
      <c r="A44" s="4" t="s">
        <v>29</v>
      </c>
      <c r="B44" s="4" t="s">
        <v>30</v>
      </c>
      <c r="C44" s="4" t="s">
        <v>31</v>
      </c>
      <c r="D44" s="4" t="s">
        <v>32</v>
      </c>
      <c r="E44" s="4" t="s">
        <v>33</v>
      </c>
      <c r="F44" s="4" t="s">
        <v>34</v>
      </c>
      <c r="G44" s="4" t="s">
        <v>35</v>
      </c>
    </row>
    <row r="45" spans="1:7" ht="26.4" x14ac:dyDescent="0.3">
      <c r="A45" s="18" t="s">
        <v>36</v>
      </c>
      <c r="B45" s="19" t="s">
        <v>37</v>
      </c>
      <c r="C45" s="20" t="str">
        <f>IFERROR(INDEX('Matriz RF'!$E$5:$E$100,MATCH($B45,'Matriz RF'!$A$5:$A$100,0)),INDEX('Matriz RNF'!$E$5:$E$100,MATCH($B45,'Matriz RNF'!$A$5:$A$100,0)))</f>
        <v>Sin evidencia</v>
      </c>
      <c r="D45" s="18" t="s">
        <v>38</v>
      </c>
      <c r="E45" s="20" t="s">
        <v>39</v>
      </c>
      <c r="F45" s="21">
        <f>1-IFERROR(INDEX('Matriz RF'!$F$5:$F$100,MATCH($B45,'Matriz RF'!$A$5:$A$100,0)),INDEX('Matriz RNF'!$F$5:$F$100,MATCH($B45,'Matriz RNF'!$A$5:$A$100,0)))</f>
        <v>1</v>
      </c>
      <c r="G45" s="22">
        <f>($G$9+SUM($F$45:F45))/$B$9</f>
        <v>0.66</v>
      </c>
    </row>
    <row r="46" spans="1:7" ht="26.4" x14ac:dyDescent="0.3">
      <c r="A46" s="18" t="s">
        <v>40</v>
      </c>
      <c r="B46" s="19" t="s">
        <v>41</v>
      </c>
      <c r="C46" s="20" t="str">
        <f>IFERROR(INDEX('Matriz RF'!$E$5:$E$100,MATCH($B46,'Matriz RF'!$A$5:$A$100,0)),INDEX('Matriz RNF'!$E$5:$E$100,MATCH($B46,'Matriz RNF'!$A$5:$A$100,0)))</f>
        <v>Parcial</v>
      </c>
      <c r="D46" s="18" t="s">
        <v>42</v>
      </c>
      <c r="E46" s="20" t="s">
        <v>39</v>
      </c>
      <c r="F46" s="21">
        <f>1-IFERROR(INDEX('Matriz RF'!$F$5:$F$100,MATCH($B46,'Matriz RF'!$A$5:$A$100,0)),INDEX('Matriz RNF'!$F$5:$F$100,MATCH($B46,'Matriz RNF'!$A$5:$A$100,0)))</f>
        <v>0.5</v>
      </c>
      <c r="G46" s="22">
        <f>($G$9+SUM($F$45:F46))/$B$9</f>
        <v>0.68</v>
      </c>
    </row>
    <row r="47" spans="1:7" ht="26.4" x14ac:dyDescent="0.3">
      <c r="A47" s="18" t="s">
        <v>43</v>
      </c>
      <c r="B47" s="19" t="s">
        <v>44</v>
      </c>
      <c r="C47" s="20" t="str">
        <f>IFERROR(INDEX('Matriz RF'!$E$5:$E$100,MATCH($B47,'Matriz RF'!$A$5:$A$100,0)),INDEX('Matriz RNF'!$E$5:$E$100,MATCH($B47,'Matriz RNF'!$A$5:$A$100,0)))</f>
        <v>Parcial</v>
      </c>
      <c r="D47" s="18" t="s">
        <v>42</v>
      </c>
      <c r="E47" s="20" t="s">
        <v>39</v>
      </c>
      <c r="F47" s="21">
        <f>1-IFERROR(INDEX('Matriz RF'!$F$5:$F$100,MATCH($B47,'Matriz RF'!$A$5:$A$100,0)),INDEX('Matriz RNF'!$F$5:$F$100,MATCH($B47,'Matriz RNF'!$A$5:$A$100,0)))</f>
        <v>0.5</v>
      </c>
      <c r="G47" s="22">
        <f>($G$9+SUM($F$45:F47))/$B$9</f>
        <v>0.7</v>
      </c>
    </row>
    <row r="48" spans="1:7" ht="26.4" x14ac:dyDescent="0.3">
      <c r="A48" s="18" t="s">
        <v>45</v>
      </c>
      <c r="B48" s="19" t="s">
        <v>46</v>
      </c>
      <c r="C48" s="20" t="str">
        <f>IFERROR(INDEX('Matriz RF'!$E$5:$E$100,MATCH($B48,'Matriz RF'!$A$5:$A$100,0)),INDEX('Matriz RNF'!$E$5:$E$100,MATCH($B48,'Matriz RNF'!$A$5:$A$100,0)))</f>
        <v>Parcial</v>
      </c>
      <c r="D48" s="18" t="s">
        <v>47</v>
      </c>
      <c r="E48" s="20" t="s">
        <v>39</v>
      </c>
      <c r="F48" s="21">
        <f>1-IFERROR(INDEX('Matriz RF'!$F$5:$F$100,MATCH($B48,'Matriz RF'!$A$5:$A$100,0)),INDEX('Matriz RNF'!$F$5:$F$100,MATCH($B48,'Matriz RNF'!$A$5:$A$100,0)))</f>
        <v>0.5</v>
      </c>
      <c r="G48" s="22">
        <f>($G$9+SUM($F$45:F48))/$B$9</f>
        <v>0.72</v>
      </c>
    </row>
    <row r="49" spans="1:7" ht="26.4" x14ac:dyDescent="0.3">
      <c r="A49" s="18" t="s">
        <v>48</v>
      </c>
      <c r="B49" s="19" t="s">
        <v>49</v>
      </c>
      <c r="C49" s="20" t="str">
        <f>IFERROR(INDEX('Matriz RF'!$E$5:$E$100,MATCH($B49,'Matriz RF'!$A$5:$A$100,0)),INDEX('Matriz RNF'!$E$5:$E$100,MATCH($B49,'Matriz RNF'!$A$5:$A$100,0)))</f>
        <v>Parcial</v>
      </c>
      <c r="D49" s="18" t="s">
        <v>47</v>
      </c>
      <c r="E49" s="20" t="s">
        <v>39</v>
      </c>
      <c r="F49" s="21">
        <f>1-IFERROR(INDEX('Matriz RF'!$F$5:$F$100,MATCH($B49,'Matriz RF'!$A$5:$A$100,0)),INDEX('Matriz RNF'!$F$5:$F$100,MATCH($B49,'Matriz RNF'!$A$5:$A$100,0)))</f>
        <v>0.5</v>
      </c>
      <c r="G49" s="22">
        <f>($G$9+SUM($F$45:F49))/$B$9</f>
        <v>0.74</v>
      </c>
    </row>
    <row r="50" spans="1:7" ht="26.4" x14ac:dyDescent="0.3">
      <c r="A50" s="18" t="s">
        <v>50</v>
      </c>
      <c r="B50" s="19" t="s">
        <v>51</v>
      </c>
      <c r="C50" s="20" t="str">
        <f>IFERROR(INDEX('Matriz RF'!$E$5:$E$100,MATCH($B50,'Matriz RF'!$A$5:$A$100,0)),INDEX('Matriz RNF'!$E$5:$E$100,MATCH($B50,'Matriz RNF'!$A$5:$A$100,0)))</f>
        <v>Parcial</v>
      </c>
      <c r="D50" s="18" t="s">
        <v>47</v>
      </c>
      <c r="E50" s="20" t="s">
        <v>39</v>
      </c>
      <c r="F50" s="21">
        <f>1-IFERROR(INDEX('Matriz RF'!$F$5:$F$100,MATCH($B50,'Matriz RF'!$A$5:$A$100,0)),INDEX('Matriz RNF'!$F$5:$F$100,MATCH($B50,'Matriz RNF'!$A$5:$A$100,0)))</f>
        <v>0.5</v>
      </c>
      <c r="G50" s="22">
        <f>($G$9+SUM($F$45:F50))/$B$9</f>
        <v>0.76</v>
      </c>
    </row>
    <row r="51" spans="1:7" x14ac:dyDescent="0.3">
      <c r="A51" s="18" t="s">
        <v>52</v>
      </c>
      <c r="B51" s="19" t="s">
        <v>53</v>
      </c>
      <c r="C51" s="20" t="str">
        <f>IFERROR(INDEX('Matriz RF'!$E$5:$E$100,MATCH($B51,'Matriz RF'!$A$5:$A$100,0)),INDEX('Matriz RNF'!$E$5:$E$100,MATCH($B51,'Matriz RNF'!$A$5:$A$100,0)))</f>
        <v>Parcial</v>
      </c>
      <c r="D51" s="18" t="s">
        <v>47</v>
      </c>
      <c r="E51" s="20" t="s">
        <v>54</v>
      </c>
      <c r="F51" s="21">
        <f>1-IFERROR(INDEX('Matriz RF'!$F$5:$F$100,MATCH($B51,'Matriz RF'!$A$5:$A$100,0)),INDEX('Matriz RNF'!$F$5:$F$100,MATCH($B51,'Matriz RNF'!$A$5:$A$100,0)))</f>
        <v>0.5</v>
      </c>
      <c r="G51" s="22">
        <f>($G$9+SUM($F$45:F51))/$B$9</f>
        <v>0.78</v>
      </c>
    </row>
    <row r="52" spans="1:7" x14ac:dyDescent="0.3">
      <c r="A52" s="18" t="s">
        <v>55</v>
      </c>
      <c r="B52" s="19" t="s">
        <v>56</v>
      </c>
      <c r="C52" s="20" t="str">
        <f>IFERROR(INDEX('Matriz RF'!$E$5:$E$100,MATCH($B52,'Matriz RF'!$A$5:$A$100,0)),INDEX('Matriz RNF'!$E$5:$E$100,MATCH($B52,'Matriz RNF'!$A$5:$A$100,0)))</f>
        <v>Parcial</v>
      </c>
      <c r="D52" s="18" t="s">
        <v>47</v>
      </c>
      <c r="E52" s="20" t="s">
        <v>54</v>
      </c>
      <c r="F52" s="21">
        <f>1-IFERROR(INDEX('Matriz RF'!$F$5:$F$100,MATCH($B52,'Matriz RF'!$A$5:$A$100,0)),INDEX('Matriz RNF'!$F$5:$F$100,MATCH($B52,'Matriz RNF'!$A$5:$A$100,0)))</f>
        <v>0.5</v>
      </c>
      <c r="G52" s="22">
        <f>($G$9+SUM($F$45:F52))/$B$9</f>
        <v>0.8</v>
      </c>
    </row>
    <row r="53" spans="1:7" ht="26.4" x14ac:dyDescent="0.3">
      <c r="A53" s="18" t="s">
        <v>57</v>
      </c>
      <c r="B53" s="19" t="s">
        <v>58</v>
      </c>
      <c r="C53" s="20" t="str">
        <f>IFERROR(INDEX('Matriz RF'!$E$5:$E$100,MATCH($B53,'Matriz RF'!$A$5:$A$100,0)),INDEX('Matriz RNF'!$E$5:$E$100,MATCH($B53,'Matriz RNF'!$A$5:$A$100,0)))</f>
        <v>Parcial</v>
      </c>
      <c r="D53" s="18" t="s">
        <v>47</v>
      </c>
      <c r="E53" s="20" t="s">
        <v>54</v>
      </c>
      <c r="F53" s="21">
        <f>1-IFERROR(INDEX('Matriz RF'!$F$5:$F$100,MATCH($B53,'Matriz RF'!$A$5:$A$100,0)),INDEX('Matriz RNF'!$F$5:$F$100,MATCH($B53,'Matriz RNF'!$A$5:$A$100,0)))</f>
        <v>0.5</v>
      </c>
      <c r="G53" s="22">
        <f>($G$9+SUM($F$45:F53))/$B$9</f>
        <v>0.82</v>
      </c>
    </row>
    <row r="54" spans="1:7" ht="26.4" x14ac:dyDescent="0.3">
      <c r="A54" s="18" t="s">
        <v>59</v>
      </c>
      <c r="B54" s="19" t="s">
        <v>60</v>
      </c>
      <c r="C54" s="20" t="str">
        <f>IFERROR(INDEX('Matriz RF'!$E$5:$E$100,MATCH($B54,'Matriz RF'!$A$5:$A$100,0)),INDEX('Matriz RNF'!$E$5:$E$100,MATCH($B54,'Matriz RNF'!$A$5:$A$100,0)))</f>
        <v>Parcial</v>
      </c>
      <c r="D54" s="18" t="s">
        <v>47</v>
      </c>
      <c r="E54" s="20" t="s">
        <v>54</v>
      </c>
      <c r="F54" s="21">
        <f>1-IFERROR(INDEX('Matriz RF'!$F$5:$F$100,MATCH($B54,'Matriz RF'!$A$5:$A$100,0)),INDEX('Matriz RNF'!$F$5:$F$100,MATCH($B54,'Matriz RNF'!$A$5:$A$100,0)))</f>
        <v>0.5</v>
      </c>
      <c r="G54" s="22">
        <f>($G$9+SUM($F$45:F54))/$B$9</f>
        <v>0.84</v>
      </c>
    </row>
    <row r="55" spans="1:7" x14ac:dyDescent="0.3">
      <c r="A55" s="18" t="s">
        <v>61</v>
      </c>
      <c r="B55" s="19" t="s">
        <v>62</v>
      </c>
      <c r="C55" s="20" t="str">
        <f>IFERROR(INDEX('Matriz RF'!$E$5:$E$100,MATCH($B55,'Matriz RF'!$A$5:$A$100,0)),INDEX('Matriz RNF'!$E$5:$E$100,MATCH($B55,'Matriz RNF'!$A$5:$A$100,0)))</f>
        <v>No implementado</v>
      </c>
      <c r="D55" s="18" t="s">
        <v>47</v>
      </c>
      <c r="E55" s="20" t="s">
        <v>54</v>
      </c>
      <c r="F55" s="21">
        <f>1-IFERROR(INDEX('Matriz RF'!$F$5:$F$100,MATCH($B55,'Matriz RF'!$A$5:$A$100,0)),INDEX('Matriz RNF'!$F$5:$F$100,MATCH($B55,'Matriz RNF'!$A$5:$A$100,0)))</f>
        <v>1</v>
      </c>
      <c r="G55" s="22">
        <f>($G$9+SUM($F$45:F55))/$B$9</f>
        <v>0.88</v>
      </c>
    </row>
    <row r="56" spans="1:7" ht="26.4" x14ac:dyDescent="0.3">
      <c r="A56" s="18" t="s">
        <v>63</v>
      </c>
      <c r="B56" s="19" t="s">
        <v>64</v>
      </c>
      <c r="C56" s="20" t="str">
        <f>IFERROR(INDEX('Matriz RF'!$E$5:$E$100,MATCH($B56,'Matriz RF'!$A$5:$A$100,0)),INDEX('Matriz RNF'!$E$5:$E$100,MATCH($B56,'Matriz RNF'!$A$5:$A$100,0)))</f>
        <v>Sin evidencia</v>
      </c>
      <c r="D56" s="18" t="s">
        <v>42</v>
      </c>
      <c r="E56" s="20" t="s">
        <v>54</v>
      </c>
      <c r="F56" s="21">
        <f>1-IFERROR(INDEX('Matriz RF'!$F$5:$F$100,MATCH($B56,'Matriz RF'!$A$5:$A$100,0)),INDEX('Matriz RNF'!$F$5:$F$100,MATCH($B56,'Matriz RNF'!$A$5:$A$100,0)))</f>
        <v>1</v>
      </c>
      <c r="G56" s="22">
        <f>($G$9+SUM($F$45:F56))/$B$9</f>
        <v>0.92</v>
      </c>
    </row>
    <row r="57" spans="1:7" ht="26.4" x14ac:dyDescent="0.3">
      <c r="A57" s="18" t="s">
        <v>65</v>
      </c>
      <c r="B57" s="19" t="s">
        <v>66</v>
      </c>
      <c r="C57" s="20" t="str">
        <f>IFERROR(INDEX('Matriz RF'!$E$5:$E$100,MATCH($B57,'Matriz RF'!$A$5:$A$100,0)),INDEX('Matriz RNF'!$E$5:$E$100,MATCH($B57,'Matriz RNF'!$A$5:$A$100,0)))</f>
        <v>No implementado</v>
      </c>
      <c r="D57" s="18" t="s">
        <v>47</v>
      </c>
      <c r="E57" s="20" t="s">
        <v>67</v>
      </c>
      <c r="F57" s="21">
        <f>1-IFERROR(INDEX('Matriz RF'!$F$5:$F$100,MATCH($B57,'Matriz RF'!$A$5:$A$100,0)),INDEX('Matriz RNF'!$F$5:$F$100,MATCH($B57,'Matriz RNF'!$A$5:$A$100,0)))</f>
        <v>1</v>
      </c>
      <c r="G57" s="22">
        <f>($G$9+SUM($F$45:F57))/$B$9</f>
        <v>0.96</v>
      </c>
    </row>
    <row r="58" spans="1:7" x14ac:dyDescent="0.3">
      <c r="A58" s="18" t="s">
        <v>68</v>
      </c>
      <c r="B58" s="19" t="s">
        <v>69</v>
      </c>
      <c r="C58" s="20" t="str">
        <f>IFERROR(INDEX('Matriz RF'!$E$5:$E$100,MATCH($B58,'Matriz RF'!$A$5:$A$100,0)),INDEX('Matriz RNF'!$E$5:$E$100,MATCH($B58,'Matriz RNF'!$A$5:$A$100,0)))</f>
        <v>No implementado</v>
      </c>
      <c r="D58" s="18" t="s">
        <v>47</v>
      </c>
      <c r="E58" s="20" t="s">
        <v>67</v>
      </c>
      <c r="F58" s="21">
        <f>1-IFERROR(INDEX('Matriz RF'!$F$5:$F$100,MATCH($B58,'Matriz RF'!$A$5:$A$100,0)),INDEX('Matriz RNF'!$F$5:$F$100,MATCH($B58,'Matriz RNF'!$A$5:$A$100,0)))</f>
        <v>1</v>
      </c>
      <c r="G58" s="22">
        <f>($G$9+SUM($F$45:F58))/$B$9</f>
        <v>1</v>
      </c>
    </row>
    <row r="59" spans="1:7" x14ac:dyDescent="0.3">
      <c r="A59" s="2" t="s">
        <v>70</v>
      </c>
    </row>
  </sheetData>
  <conditionalFormatting sqref="C45:C58">
    <cfRule type="cellIs" dxfId="12" priority="2" operator="equal">
      <formula>"Implementado"</formula>
    </cfRule>
    <cfRule type="cellIs" dxfId="11" priority="3" operator="equal">
      <formula>"Parcial"</formula>
    </cfRule>
    <cfRule type="cellIs" dxfId="10" priority="4" operator="equal">
      <formula>"No implementado"</formula>
    </cfRule>
    <cfRule type="cellIs" dxfId="9" priority="5" operator="equal">
      <formula>"Sin evidencia"</formula>
    </cfRule>
  </conditionalFormatting>
  <conditionalFormatting sqref="G45:G58">
    <cfRule type="expression" dxfId="8" priority="1">
      <formula>G45&gt;=$B$23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0" customWidth="1"/>
    <col min="2" max="2" width="18" customWidth="1"/>
    <col min="3" max="3" width="42" customWidth="1"/>
    <col min="4" max="4" width="10" customWidth="1"/>
    <col min="5" max="5" width="15" customWidth="1"/>
    <col min="6" max="6" width="9" customWidth="1"/>
    <col min="7" max="7" width="70" customWidth="1"/>
    <col min="8" max="8" width="55" customWidth="1"/>
    <col min="9" max="9" width="22" customWidth="1"/>
    <col min="10" max="10" width="13" customWidth="1"/>
    <col min="11" max="11" width="20" customWidth="1"/>
  </cols>
  <sheetData>
    <row r="1" spans="1:11" ht="17.399999999999999" x14ac:dyDescent="0.3">
      <c r="A1" s="23" t="s">
        <v>71</v>
      </c>
    </row>
    <row r="2" spans="1:11" x14ac:dyDescent="0.3">
      <c r="A2" s="2" t="s">
        <v>72</v>
      </c>
    </row>
    <row r="4" spans="1:11" ht="26.4" x14ac:dyDescent="0.3">
      <c r="A4" s="4" t="s">
        <v>73</v>
      </c>
      <c r="B4" s="4" t="s">
        <v>74</v>
      </c>
      <c r="C4" s="4" t="s">
        <v>75</v>
      </c>
      <c r="D4" s="4" t="s">
        <v>76</v>
      </c>
      <c r="E4" s="4" t="s">
        <v>77</v>
      </c>
      <c r="F4" s="4" t="s">
        <v>78</v>
      </c>
      <c r="G4" s="4" t="s">
        <v>79</v>
      </c>
      <c r="H4" s="4" t="s">
        <v>80</v>
      </c>
      <c r="I4" s="4" t="s">
        <v>81</v>
      </c>
      <c r="J4" s="4" t="s">
        <v>82</v>
      </c>
      <c r="K4" s="4" t="s">
        <v>83</v>
      </c>
    </row>
    <row r="5" spans="1:11" ht="52.8" x14ac:dyDescent="0.3">
      <c r="A5" s="24" t="s">
        <v>53</v>
      </c>
      <c r="B5" s="25" t="s">
        <v>84</v>
      </c>
      <c r="C5" s="25" t="s">
        <v>85</v>
      </c>
      <c r="D5" s="20" t="s">
        <v>86</v>
      </c>
      <c r="E5" s="20" t="s">
        <v>24</v>
      </c>
      <c r="F5" s="26">
        <f>IFERROR(INDEX(Resumen!$B$18:$B$21,MATCH(E5,Resumen!$A$18:$A$21,0)),0)</f>
        <v>0.5</v>
      </c>
      <c r="G5" s="25" t="s">
        <v>87</v>
      </c>
      <c r="H5" s="25" t="s">
        <v>88</v>
      </c>
      <c r="I5" s="25" t="s">
        <v>89</v>
      </c>
      <c r="J5" s="25" t="s">
        <v>90</v>
      </c>
      <c r="K5" s="25" t="s">
        <v>91</v>
      </c>
    </row>
    <row r="6" spans="1:11" ht="39.6" x14ac:dyDescent="0.3">
      <c r="A6" s="24" t="s">
        <v>46</v>
      </c>
      <c r="B6" s="25" t="s">
        <v>84</v>
      </c>
      <c r="C6" s="25" t="s">
        <v>92</v>
      </c>
      <c r="D6" s="20" t="s">
        <v>86</v>
      </c>
      <c r="E6" s="20" t="s">
        <v>24</v>
      </c>
      <c r="F6" s="26">
        <f>IFERROR(INDEX(Resumen!$B$18:$B$21,MATCH(E6,Resumen!$A$18:$A$21,0)),0)</f>
        <v>0.5</v>
      </c>
      <c r="G6" s="25" t="s">
        <v>93</v>
      </c>
      <c r="H6" s="25" t="s">
        <v>94</v>
      </c>
      <c r="I6" s="25" t="s">
        <v>95</v>
      </c>
      <c r="J6" s="25" t="s">
        <v>96</v>
      </c>
      <c r="K6" s="25" t="s">
        <v>91</v>
      </c>
    </row>
    <row r="7" spans="1:11" ht="52.8" x14ac:dyDescent="0.3">
      <c r="A7" s="24" t="s">
        <v>97</v>
      </c>
      <c r="B7" s="25" t="s">
        <v>98</v>
      </c>
      <c r="C7" s="25" t="s">
        <v>99</v>
      </c>
      <c r="D7" s="20" t="s">
        <v>86</v>
      </c>
      <c r="E7" s="20" t="s">
        <v>22</v>
      </c>
      <c r="F7" s="26">
        <f>IFERROR(INDEX(Resumen!$B$18:$B$21,MATCH(E7,Resumen!$A$18:$A$21,0)),0)</f>
        <v>1</v>
      </c>
      <c r="G7" s="25" t="s">
        <v>100</v>
      </c>
      <c r="H7" s="25" t="s">
        <v>101</v>
      </c>
      <c r="I7" s="25" t="s">
        <v>102</v>
      </c>
      <c r="J7" s="25" t="s">
        <v>103</v>
      </c>
      <c r="K7" s="25" t="s">
        <v>104</v>
      </c>
    </row>
    <row r="8" spans="1:11" ht="39.6" x14ac:dyDescent="0.3">
      <c r="A8" s="24" t="s">
        <v>56</v>
      </c>
      <c r="B8" s="25" t="s">
        <v>98</v>
      </c>
      <c r="C8" s="25" t="s">
        <v>105</v>
      </c>
      <c r="D8" s="20" t="s">
        <v>86</v>
      </c>
      <c r="E8" s="20" t="s">
        <v>24</v>
      </c>
      <c r="F8" s="26">
        <f>IFERROR(INDEX(Resumen!$B$18:$B$21,MATCH(E8,Resumen!$A$18:$A$21,0)),0)</f>
        <v>0.5</v>
      </c>
      <c r="G8" s="25" t="s">
        <v>106</v>
      </c>
      <c r="H8" s="25" t="s">
        <v>107</v>
      </c>
      <c r="I8" s="25" t="s">
        <v>108</v>
      </c>
      <c r="J8" s="25" t="s">
        <v>109</v>
      </c>
      <c r="K8" s="25" t="s">
        <v>91</v>
      </c>
    </row>
    <row r="9" spans="1:11" ht="52.8" x14ac:dyDescent="0.3">
      <c r="A9" s="24" t="s">
        <v>110</v>
      </c>
      <c r="B9" s="25" t="s">
        <v>111</v>
      </c>
      <c r="C9" s="25" t="s">
        <v>112</v>
      </c>
      <c r="D9" s="20" t="s">
        <v>86</v>
      </c>
      <c r="E9" s="20" t="s">
        <v>22</v>
      </c>
      <c r="F9" s="26">
        <f>IFERROR(INDEX(Resumen!$B$18:$B$21,MATCH(E9,Resumen!$A$18:$A$21,0)),0)</f>
        <v>1</v>
      </c>
      <c r="G9" s="25" t="s">
        <v>113</v>
      </c>
      <c r="H9" s="25" t="s">
        <v>104</v>
      </c>
      <c r="I9" s="25" t="s">
        <v>114</v>
      </c>
      <c r="J9" s="25" t="s">
        <v>115</v>
      </c>
      <c r="K9" s="25" t="s">
        <v>104</v>
      </c>
    </row>
    <row r="10" spans="1:11" ht="39.6" x14ac:dyDescent="0.3">
      <c r="A10" s="24" t="s">
        <v>51</v>
      </c>
      <c r="B10" s="25" t="s">
        <v>111</v>
      </c>
      <c r="C10" s="25" t="s">
        <v>116</v>
      </c>
      <c r="D10" s="20" t="s">
        <v>86</v>
      </c>
      <c r="E10" s="20" t="s">
        <v>24</v>
      </c>
      <c r="F10" s="26">
        <f>IFERROR(INDEX(Resumen!$B$18:$B$21,MATCH(E10,Resumen!$A$18:$A$21,0)),0)</f>
        <v>0.5</v>
      </c>
      <c r="G10" s="25" t="s">
        <v>117</v>
      </c>
      <c r="H10" s="25" t="s">
        <v>118</v>
      </c>
      <c r="I10" s="25" t="s">
        <v>119</v>
      </c>
      <c r="J10" s="25" t="s">
        <v>120</v>
      </c>
      <c r="K10" s="25" t="s">
        <v>91</v>
      </c>
    </row>
    <row r="11" spans="1:11" ht="39.6" x14ac:dyDescent="0.3">
      <c r="A11" s="24" t="s">
        <v>49</v>
      </c>
      <c r="B11" s="25" t="s">
        <v>121</v>
      </c>
      <c r="C11" s="25" t="s">
        <v>122</v>
      </c>
      <c r="D11" s="20" t="s">
        <v>86</v>
      </c>
      <c r="E11" s="20" t="s">
        <v>24</v>
      </c>
      <c r="F11" s="26">
        <f>IFERROR(INDEX(Resumen!$B$18:$B$21,MATCH(E11,Resumen!$A$18:$A$21,0)),0)</f>
        <v>0.5</v>
      </c>
      <c r="G11" s="25" t="s">
        <v>123</v>
      </c>
      <c r="H11" s="25" t="s">
        <v>124</v>
      </c>
      <c r="I11" s="25" t="s">
        <v>125</v>
      </c>
      <c r="J11" s="25" t="s">
        <v>126</v>
      </c>
      <c r="K11" s="25" t="s">
        <v>91</v>
      </c>
    </row>
    <row r="12" spans="1:11" ht="52.8" x14ac:dyDescent="0.3">
      <c r="A12" s="24" t="s">
        <v>58</v>
      </c>
      <c r="B12" s="25" t="s">
        <v>127</v>
      </c>
      <c r="C12" s="25" t="s">
        <v>128</v>
      </c>
      <c r="D12" s="20" t="s">
        <v>86</v>
      </c>
      <c r="E12" s="20" t="s">
        <v>24</v>
      </c>
      <c r="F12" s="26">
        <f>IFERROR(INDEX(Resumen!$B$18:$B$21,MATCH(E12,Resumen!$A$18:$A$21,0)),0)</f>
        <v>0.5</v>
      </c>
      <c r="G12" s="25" t="s">
        <v>129</v>
      </c>
      <c r="H12" s="25" t="s">
        <v>130</v>
      </c>
      <c r="I12" s="25" t="s">
        <v>131</v>
      </c>
      <c r="J12" s="25" t="s">
        <v>132</v>
      </c>
      <c r="K12" s="25" t="s">
        <v>91</v>
      </c>
    </row>
    <row r="13" spans="1:11" ht="52.8" x14ac:dyDescent="0.3">
      <c r="A13" s="24" t="s">
        <v>133</v>
      </c>
      <c r="B13" s="25" t="s">
        <v>127</v>
      </c>
      <c r="C13" s="25" t="s">
        <v>134</v>
      </c>
      <c r="D13" s="20" t="s">
        <v>86</v>
      </c>
      <c r="E13" s="20" t="s">
        <v>22</v>
      </c>
      <c r="F13" s="26">
        <f>IFERROR(INDEX(Resumen!$B$18:$B$21,MATCH(E13,Resumen!$A$18:$A$21,0)),0)</f>
        <v>1</v>
      </c>
      <c r="G13" s="25" t="s">
        <v>135</v>
      </c>
      <c r="H13" s="25" t="s">
        <v>136</v>
      </c>
      <c r="I13" s="25" t="s">
        <v>137</v>
      </c>
      <c r="J13" s="25" t="s">
        <v>138</v>
      </c>
      <c r="K13" s="25" t="s">
        <v>104</v>
      </c>
    </row>
    <row r="14" spans="1:11" ht="39.6" x14ac:dyDescent="0.3">
      <c r="A14" s="24" t="s">
        <v>69</v>
      </c>
      <c r="B14" s="25" t="s">
        <v>139</v>
      </c>
      <c r="C14" s="25" t="s">
        <v>140</v>
      </c>
      <c r="D14" s="20" t="s">
        <v>86</v>
      </c>
      <c r="E14" s="20" t="s">
        <v>25</v>
      </c>
      <c r="F14" s="26">
        <f>IFERROR(INDEX(Resumen!$B$18:$B$21,MATCH(E14,Resumen!$A$18:$A$21,0)),0)</f>
        <v>0</v>
      </c>
      <c r="G14" s="25" t="s">
        <v>141</v>
      </c>
      <c r="H14" s="25" t="s">
        <v>142</v>
      </c>
      <c r="I14" s="25" t="s">
        <v>143</v>
      </c>
      <c r="J14" s="25" t="s">
        <v>144</v>
      </c>
      <c r="K14" s="25" t="s">
        <v>145</v>
      </c>
    </row>
    <row r="15" spans="1:11" ht="52.8" x14ac:dyDescent="0.3">
      <c r="A15" s="24" t="s">
        <v>62</v>
      </c>
      <c r="B15" s="25" t="s">
        <v>146</v>
      </c>
      <c r="C15" s="25" t="s">
        <v>147</v>
      </c>
      <c r="D15" s="20" t="s">
        <v>86</v>
      </c>
      <c r="E15" s="20" t="s">
        <v>25</v>
      </c>
      <c r="F15" s="26">
        <f>IFERROR(INDEX(Resumen!$B$18:$B$21,MATCH(E15,Resumen!$A$18:$A$21,0)),0)</f>
        <v>0</v>
      </c>
      <c r="G15" s="25" t="s">
        <v>148</v>
      </c>
      <c r="H15" s="25" t="s">
        <v>149</v>
      </c>
      <c r="I15" s="25" t="s">
        <v>150</v>
      </c>
      <c r="J15" s="25" t="s">
        <v>151</v>
      </c>
      <c r="K15" s="25" t="s">
        <v>145</v>
      </c>
    </row>
    <row r="16" spans="1:11" ht="52.8" x14ac:dyDescent="0.3">
      <c r="A16" s="24" t="s">
        <v>66</v>
      </c>
      <c r="B16" s="25" t="s">
        <v>146</v>
      </c>
      <c r="C16" s="25" t="s">
        <v>152</v>
      </c>
      <c r="D16" s="20" t="s">
        <v>86</v>
      </c>
      <c r="E16" s="20" t="s">
        <v>25</v>
      </c>
      <c r="F16" s="26">
        <f>IFERROR(INDEX(Resumen!$B$18:$B$21,MATCH(E16,Resumen!$A$18:$A$21,0)),0)</f>
        <v>0</v>
      </c>
      <c r="G16" s="25" t="s">
        <v>153</v>
      </c>
      <c r="H16" s="25" t="s">
        <v>154</v>
      </c>
      <c r="I16" s="25" t="s">
        <v>155</v>
      </c>
      <c r="J16" s="25" t="s">
        <v>156</v>
      </c>
      <c r="K16" s="25" t="s">
        <v>145</v>
      </c>
    </row>
    <row r="17" spans="1:11" ht="52.8" x14ac:dyDescent="0.3">
      <c r="A17" s="24" t="s">
        <v>157</v>
      </c>
      <c r="B17" s="25" t="s">
        <v>98</v>
      </c>
      <c r="C17" s="25" t="s">
        <v>158</v>
      </c>
      <c r="D17" s="20" t="s">
        <v>159</v>
      </c>
      <c r="E17" s="20" t="s">
        <v>22</v>
      </c>
      <c r="F17" s="26">
        <f>IFERROR(INDEX(Resumen!$B$18:$B$21,MATCH(E17,Resumen!$A$18:$A$21,0)),0)</f>
        <v>1</v>
      </c>
      <c r="G17" s="25" t="s">
        <v>160</v>
      </c>
      <c r="H17" s="25" t="s">
        <v>161</v>
      </c>
      <c r="I17" s="25" t="s">
        <v>162</v>
      </c>
      <c r="J17" s="25" t="s">
        <v>163</v>
      </c>
      <c r="K17" s="25" t="s">
        <v>104</v>
      </c>
    </row>
    <row r="18" spans="1:11" ht="52.8" x14ac:dyDescent="0.3">
      <c r="A18" s="24" t="s">
        <v>164</v>
      </c>
      <c r="B18" s="25" t="s">
        <v>98</v>
      </c>
      <c r="C18" s="25" t="s">
        <v>165</v>
      </c>
      <c r="D18" s="20" t="s">
        <v>159</v>
      </c>
      <c r="E18" s="20" t="s">
        <v>22</v>
      </c>
      <c r="F18" s="26">
        <f>IFERROR(INDEX(Resumen!$B$18:$B$21,MATCH(E18,Resumen!$A$18:$A$21,0)),0)</f>
        <v>1</v>
      </c>
      <c r="G18" s="25" t="s">
        <v>166</v>
      </c>
      <c r="H18" s="25" t="s">
        <v>167</v>
      </c>
      <c r="I18" s="25" t="s">
        <v>168</v>
      </c>
      <c r="J18" s="25" t="s">
        <v>169</v>
      </c>
      <c r="K18" s="25" t="s">
        <v>104</v>
      </c>
    </row>
    <row r="19" spans="1:11" ht="66" x14ac:dyDescent="0.3">
      <c r="A19" s="24" t="s">
        <v>170</v>
      </c>
      <c r="B19" s="25" t="s">
        <v>171</v>
      </c>
      <c r="C19" s="25" t="s">
        <v>172</v>
      </c>
      <c r="D19" s="20" t="s">
        <v>159</v>
      </c>
      <c r="E19" s="20" t="s">
        <v>22</v>
      </c>
      <c r="F19" s="26">
        <f>IFERROR(INDEX(Resumen!$B$18:$B$21,MATCH(E19,Resumen!$A$18:$A$21,0)),0)</f>
        <v>1</v>
      </c>
      <c r="G19" s="25" t="s">
        <v>173</v>
      </c>
      <c r="H19" s="25" t="s">
        <v>174</v>
      </c>
      <c r="I19" s="25" t="s">
        <v>175</v>
      </c>
      <c r="J19" s="25" t="s">
        <v>176</v>
      </c>
      <c r="K19" s="25" t="s">
        <v>104</v>
      </c>
    </row>
    <row r="20" spans="1:11" ht="66" x14ac:dyDescent="0.3">
      <c r="A20" s="24" t="s">
        <v>177</v>
      </c>
      <c r="B20" s="25" t="s">
        <v>178</v>
      </c>
      <c r="C20" s="25" t="s">
        <v>179</v>
      </c>
      <c r="D20" s="20" t="s">
        <v>159</v>
      </c>
      <c r="E20" s="20" t="s">
        <v>22</v>
      </c>
      <c r="F20" s="26">
        <f>IFERROR(INDEX(Resumen!$B$18:$B$21,MATCH(E20,Resumen!$A$18:$A$21,0)),0)</f>
        <v>1</v>
      </c>
      <c r="G20" s="25" t="s">
        <v>180</v>
      </c>
      <c r="H20" s="25" t="s">
        <v>181</v>
      </c>
      <c r="I20" s="25" t="s">
        <v>182</v>
      </c>
      <c r="J20" s="25" t="s">
        <v>183</v>
      </c>
      <c r="K20" s="25" t="s">
        <v>104</v>
      </c>
    </row>
  </sheetData>
  <autoFilter ref="A4:K20" xr:uid="{00000000-0009-0000-0000-000001000000}"/>
  <conditionalFormatting sqref="E5:E100">
    <cfRule type="cellIs" dxfId="7" priority="1" operator="equal">
      <formula>"Implementado"</formula>
    </cfRule>
    <cfRule type="cellIs" dxfId="6" priority="2" operator="equal">
      <formula>"Parcial"</formula>
    </cfRule>
    <cfRule type="cellIs" dxfId="5" priority="3" operator="equal">
      <formula>"No implementado"</formula>
    </cfRule>
    <cfRule type="cellIs" dxfId="4" priority="4" operator="equal">
      <formula>"Sin evidencia"</formula>
    </cfRule>
  </conditionalFormatting>
  <dataValidations count="2">
    <dataValidation type="list" showErrorMessage="1" errorTitle="Estado no válido" error="Usa: Implementado, Parcial, No implementado o Sin evidencia." sqref="E5:E100" xr:uid="{00000000-0002-0000-0100-000000000000}">
      <formula1>"Implementado,Parcial,No implementado,Sin evidencia"</formula1>
    </dataValidation>
    <dataValidation type="list" sqref="D5:D100" xr:uid="{00000000-0002-0000-0100-000001000000}">
      <formula1>"Original,Nuevo"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0" customWidth="1"/>
    <col min="2" max="2" width="18" customWidth="1"/>
    <col min="3" max="3" width="42" customWidth="1"/>
    <col min="4" max="4" width="10" customWidth="1"/>
    <col min="5" max="5" width="15" customWidth="1"/>
    <col min="6" max="6" width="9" customWidth="1"/>
    <col min="7" max="7" width="70" customWidth="1"/>
    <col min="8" max="8" width="55" customWidth="1"/>
    <col min="9" max="9" width="22" customWidth="1"/>
    <col min="10" max="10" width="13" customWidth="1"/>
    <col min="11" max="11" width="20" customWidth="1"/>
  </cols>
  <sheetData>
    <row r="1" spans="1:11" ht="17.399999999999999" x14ac:dyDescent="0.3">
      <c r="A1" s="23" t="s">
        <v>184</v>
      </c>
    </row>
    <row r="2" spans="1:11" x14ac:dyDescent="0.3">
      <c r="A2" s="2" t="s">
        <v>72</v>
      </c>
    </row>
    <row r="4" spans="1:11" ht="26.4" x14ac:dyDescent="0.3">
      <c r="A4" s="4" t="s">
        <v>73</v>
      </c>
      <c r="B4" s="4" t="s">
        <v>185</v>
      </c>
      <c r="C4" s="4" t="s">
        <v>75</v>
      </c>
      <c r="D4" s="4" t="s">
        <v>76</v>
      </c>
      <c r="E4" s="4" t="s">
        <v>77</v>
      </c>
      <c r="F4" s="4" t="s">
        <v>78</v>
      </c>
      <c r="G4" s="4" t="s">
        <v>79</v>
      </c>
      <c r="H4" s="4" t="s">
        <v>80</v>
      </c>
      <c r="I4" s="4" t="s">
        <v>81</v>
      </c>
      <c r="J4" s="4" t="s">
        <v>82</v>
      </c>
      <c r="K4" s="4" t="s">
        <v>83</v>
      </c>
    </row>
    <row r="5" spans="1:11" ht="52.8" x14ac:dyDescent="0.3">
      <c r="A5" s="24" t="s">
        <v>37</v>
      </c>
      <c r="B5" s="25" t="s">
        <v>186</v>
      </c>
      <c r="C5" s="25" t="s">
        <v>187</v>
      </c>
      <c r="D5" s="20" t="s">
        <v>86</v>
      </c>
      <c r="E5" s="20" t="s">
        <v>9</v>
      </c>
      <c r="F5" s="26">
        <f>IFERROR(INDEX(Resumen!$B$18:$B$21,MATCH(E5,Resumen!$A$18:$A$21,0)),0)</f>
        <v>0</v>
      </c>
      <c r="G5" s="25" t="s">
        <v>188</v>
      </c>
      <c r="H5" s="25" t="s">
        <v>189</v>
      </c>
      <c r="I5" s="25" t="s">
        <v>104</v>
      </c>
      <c r="J5" s="25" t="s">
        <v>190</v>
      </c>
      <c r="K5" s="25" t="s">
        <v>191</v>
      </c>
    </row>
    <row r="6" spans="1:11" ht="39.6" x14ac:dyDescent="0.3">
      <c r="A6" s="24" t="s">
        <v>64</v>
      </c>
      <c r="B6" s="25" t="s">
        <v>192</v>
      </c>
      <c r="C6" s="25" t="s">
        <v>193</v>
      </c>
      <c r="D6" s="20" t="s">
        <v>86</v>
      </c>
      <c r="E6" s="20" t="s">
        <v>9</v>
      </c>
      <c r="F6" s="26">
        <f>IFERROR(INDEX(Resumen!$B$18:$B$21,MATCH(E6,Resumen!$A$18:$A$21,0)),0)</f>
        <v>0</v>
      </c>
      <c r="G6" s="25" t="s">
        <v>194</v>
      </c>
      <c r="H6" s="25" t="s">
        <v>195</v>
      </c>
      <c r="I6" s="25" t="s">
        <v>104</v>
      </c>
      <c r="J6" s="25" t="s">
        <v>196</v>
      </c>
      <c r="K6" s="25" t="s">
        <v>197</v>
      </c>
    </row>
    <row r="7" spans="1:11" ht="39.6" x14ac:dyDescent="0.3">
      <c r="A7" s="24" t="s">
        <v>198</v>
      </c>
      <c r="B7" s="25" t="s">
        <v>199</v>
      </c>
      <c r="C7" s="25" t="s">
        <v>200</v>
      </c>
      <c r="D7" s="20" t="s">
        <v>86</v>
      </c>
      <c r="E7" s="20" t="s">
        <v>22</v>
      </c>
      <c r="F7" s="26">
        <f>IFERROR(INDEX(Resumen!$B$18:$B$21,MATCH(E7,Resumen!$A$18:$A$21,0)),0)</f>
        <v>1</v>
      </c>
      <c r="G7" s="25" t="s">
        <v>201</v>
      </c>
      <c r="H7" s="25" t="s">
        <v>202</v>
      </c>
      <c r="I7" s="25" t="s">
        <v>104</v>
      </c>
      <c r="J7" s="25" t="s">
        <v>203</v>
      </c>
      <c r="K7" s="25" t="s">
        <v>104</v>
      </c>
    </row>
    <row r="8" spans="1:11" ht="39.6" x14ac:dyDescent="0.3">
      <c r="A8" s="24" t="s">
        <v>41</v>
      </c>
      <c r="B8" s="25" t="s">
        <v>204</v>
      </c>
      <c r="C8" s="25" t="s">
        <v>205</v>
      </c>
      <c r="D8" s="20" t="s">
        <v>86</v>
      </c>
      <c r="E8" s="20" t="s">
        <v>24</v>
      </c>
      <c r="F8" s="26">
        <f>IFERROR(INDEX(Resumen!$B$18:$B$21,MATCH(E8,Resumen!$A$18:$A$21,0)),0)</f>
        <v>0.5</v>
      </c>
      <c r="G8" s="25" t="s">
        <v>206</v>
      </c>
      <c r="H8" s="25" t="s">
        <v>207</v>
      </c>
      <c r="I8" s="25" t="s">
        <v>104</v>
      </c>
      <c r="J8" s="25" t="s">
        <v>208</v>
      </c>
      <c r="K8" s="25" t="s">
        <v>209</v>
      </c>
    </row>
    <row r="9" spans="1:11" ht="52.8" x14ac:dyDescent="0.3">
      <c r="A9" s="24" t="s">
        <v>210</v>
      </c>
      <c r="B9" s="25" t="s">
        <v>211</v>
      </c>
      <c r="C9" s="25" t="s">
        <v>212</v>
      </c>
      <c r="D9" s="20" t="s">
        <v>86</v>
      </c>
      <c r="E9" s="20" t="s">
        <v>22</v>
      </c>
      <c r="F9" s="26">
        <f>IFERROR(INDEX(Resumen!$B$18:$B$21,MATCH(E9,Resumen!$A$18:$A$21,0)),0)</f>
        <v>1</v>
      </c>
      <c r="G9" s="25" t="s">
        <v>213</v>
      </c>
      <c r="H9" s="25" t="s">
        <v>214</v>
      </c>
      <c r="I9" s="25" t="s">
        <v>104</v>
      </c>
      <c r="J9" s="25" t="s">
        <v>215</v>
      </c>
      <c r="K9" s="25" t="s">
        <v>104</v>
      </c>
    </row>
    <row r="10" spans="1:11" ht="39.6" x14ac:dyDescent="0.3">
      <c r="A10" s="24" t="s">
        <v>44</v>
      </c>
      <c r="B10" s="25" t="s">
        <v>216</v>
      </c>
      <c r="C10" s="25" t="s">
        <v>217</v>
      </c>
      <c r="D10" s="20" t="s">
        <v>86</v>
      </c>
      <c r="E10" s="20" t="s">
        <v>24</v>
      </c>
      <c r="F10" s="26">
        <f>IFERROR(INDEX(Resumen!$B$18:$B$21,MATCH(E10,Resumen!$A$18:$A$21,0)),0)</f>
        <v>0.5</v>
      </c>
      <c r="G10" s="25" t="s">
        <v>218</v>
      </c>
      <c r="H10" s="25" t="s">
        <v>219</v>
      </c>
      <c r="I10" s="25" t="s">
        <v>104</v>
      </c>
      <c r="J10" s="25" t="s">
        <v>220</v>
      </c>
      <c r="K10" s="25" t="s">
        <v>209</v>
      </c>
    </row>
    <row r="11" spans="1:11" ht="52.8" x14ac:dyDescent="0.3">
      <c r="A11" s="24" t="s">
        <v>60</v>
      </c>
      <c r="B11" s="25" t="s">
        <v>221</v>
      </c>
      <c r="C11" s="25" t="s">
        <v>222</v>
      </c>
      <c r="D11" s="20" t="s">
        <v>86</v>
      </c>
      <c r="E11" s="20" t="s">
        <v>24</v>
      </c>
      <c r="F11" s="26">
        <f>IFERROR(INDEX(Resumen!$B$18:$B$21,MATCH(E11,Resumen!$A$18:$A$21,0)),0)</f>
        <v>0.5</v>
      </c>
      <c r="G11" s="25" t="s">
        <v>223</v>
      </c>
      <c r="H11" s="25" t="s">
        <v>224</v>
      </c>
      <c r="I11" s="25" t="s">
        <v>104</v>
      </c>
      <c r="J11" s="25" t="s">
        <v>225</v>
      </c>
      <c r="K11" s="25" t="s">
        <v>91</v>
      </c>
    </row>
    <row r="12" spans="1:11" ht="39.6" x14ac:dyDescent="0.3">
      <c r="A12" s="24" t="s">
        <v>226</v>
      </c>
      <c r="B12" s="25" t="s">
        <v>227</v>
      </c>
      <c r="C12" s="25" t="s">
        <v>228</v>
      </c>
      <c r="D12" s="20" t="s">
        <v>86</v>
      </c>
      <c r="E12" s="20" t="s">
        <v>22</v>
      </c>
      <c r="F12" s="26">
        <f>IFERROR(INDEX(Resumen!$B$18:$B$21,MATCH(E12,Resumen!$A$18:$A$21,0)),0)</f>
        <v>1</v>
      </c>
      <c r="G12" s="25" t="s">
        <v>229</v>
      </c>
      <c r="H12" s="25" t="s">
        <v>230</v>
      </c>
      <c r="I12" s="25" t="s">
        <v>104</v>
      </c>
      <c r="J12" s="25" t="s">
        <v>231</v>
      </c>
      <c r="K12" s="25" t="s">
        <v>104</v>
      </c>
    </row>
    <row r="13" spans="1:11" ht="52.8" x14ac:dyDescent="0.3">
      <c r="A13" s="24" t="s">
        <v>232</v>
      </c>
      <c r="B13" s="25" t="s">
        <v>221</v>
      </c>
      <c r="C13" s="25" t="s">
        <v>233</v>
      </c>
      <c r="D13" s="20" t="s">
        <v>159</v>
      </c>
      <c r="E13" s="20" t="s">
        <v>22</v>
      </c>
      <c r="F13" s="26">
        <f>IFERROR(INDEX(Resumen!$B$18:$B$21,MATCH(E13,Resumen!$A$18:$A$21,0)),0)</f>
        <v>1</v>
      </c>
      <c r="G13" s="25" t="s">
        <v>234</v>
      </c>
      <c r="H13" s="25" t="s">
        <v>235</v>
      </c>
      <c r="I13" s="25" t="s">
        <v>104</v>
      </c>
      <c r="J13" s="25" t="s">
        <v>236</v>
      </c>
      <c r="K13" s="25" t="s">
        <v>104</v>
      </c>
    </row>
  </sheetData>
  <autoFilter ref="A4:K13" xr:uid="{00000000-0009-0000-0000-000002000000}"/>
  <conditionalFormatting sqref="E5:E100">
    <cfRule type="cellIs" dxfId="3" priority="1" operator="equal">
      <formula>"Implementado"</formula>
    </cfRule>
    <cfRule type="cellIs" dxfId="2" priority="2" operator="equal">
      <formula>"Parcial"</formula>
    </cfRule>
    <cfRule type="cellIs" dxfId="1" priority="3" operator="equal">
      <formula>"No implementado"</formula>
    </cfRule>
    <cfRule type="cellIs" dxfId="0" priority="4" operator="equal">
      <formula>"Sin evidencia"</formula>
    </cfRule>
  </conditionalFormatting>
  <dataValidations count="2">
    <dataValidation type="list" showErrorMessage="1" errorTitle="Estado no válido" error="Usa: Implementado, Parcial, No implementado o Sin evidencia." sqref="E5:E100" xr:uid="{00000000-0002-0000-0200-000000000000}">
      <formula1>"Implementado,Parcial,No implementado,Sin evidencia"</formula1>
    </dataValidation>
    <dataValidation type="list" sqref="D5:D100" xr:uid="{00000000-0002-0000-0200-000001000000}">
      <formula1>"Original,Nuevo"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8"/>
  <sheetViews>
    <sheetView workbookViewId="0">
      <pane ySplit="4" topLeftCell="A5" activePane="bottomLeft" state="frozen"/>
      <selection pane="bottomLeft"/>
    </sheetView>
  </sheetViews>
  <sheetFormatPr baseColWidth="10" defaultColWidth="8.88671875" defaultRowHeight="14.4" x14ac:dyDescent="0.3"/>
  <cols>
    <col min="1" max="1" width="8" customWidth="1"/>
    <col min="2" max="2" width="11" customWidth="1"/>
    <col min="3" max="3" width="18" customWidth="1"/>
    <col min="4" max="4" width="75" customWidth="1"/>
    <col min="5" max="5" width="60" customWidth="1"/>
    <col min="6" max="6" width="14" customWidth="1"/>
    <col min="7" max="7" width="22" customWidth="1"/>
  </cols>
  <sheetData>
    <row r="1" spans="1:7" ht="17.399999999999999" x14ac:dyDescent="0.3">
      <c r="A1" s="23" t="s">
        <v>237</v>
      </c>
    </row>
    <row r="2" spans="1:7" x14ac:dyDescent="0.3">
      <c r="A2" s="2" t="s">
        <v>238</v>
      </c>
    </row>
    <row r="4" spans="1:7" ht="26.4" x14ac:dyDescent="0.3">
      <c r="A4" s="4" t="s">
        <v>239</v>
      </c>
      <c r="B4" s="4" t="s">
        <v>30</v>
      </c>
      <c r="C4" s="4" t="s">
        <v>240</v>
      </c>
      <c r="D4" s="4" t="s">
        <v>241</v>
      </c>
      <c r="E4" s="4" t="s">
        <v>242</v>
      </c>
      <c r="F4" s="4" t="s">
        <v>243</v>
      </c>
      <c r="G4" s="4" t="s">
        <v>244</v>
      </c>
    </row>
    <row r="5" spans="1:7" x14ac:dyDescent="0.3">
      <c r="A5" s="24" t="s">
        <v>245</v>
      </c>
      <c r="B5" s="25" t="s">
        <v>53</v>
      </c>
      <c r="C5" s="25" t="s">
        <v>73</v>
      </c>
      <c r="D5" s="25" t="s">
        <v>246</v>
      </c>
      <c r="E5" s="25" t="s">
        <v>247</v>
      </c>
      <c r="F5" s="25" t="s">
        <v>248</v>
      </c>
      <c r="G5" s="25" t="s">
        <v>249</v>
      </c>
    </row>
    <row r="6" spans="1:7" x14ac:dyDescent="0.3">
      <c r="A6" s="24" t="s">
        <v>250</v>
      </c>
      <c r="B6" s="25" t="s">
        <v>53</v>
      </c>
      <c r="C6" s="25" t="s">
        <v>73</v>
      </c>
      <c r="D6" s="25" t="s">
        <v>251</v>
      </c>
      <c r="E6" s="25" t="s">
        <v>252</v>
      </c>
      <c r="F6" s="25" t="s">
        <v>248</v>
      </c>
      <c r="G6" s="25" t="s">
        <v>249</v>
      </c>
    </row>
    <row r="7" spans="1:7" x14ac:dyDescent="0.3">
      <c r="A7" s="24" t="s">
        <v>253</v>
      </c>
      <c r="B7" s="25" t="s">
        <v>46</v>
      </c>
      <c r="C7" s="25" t="s">
        <v>73</v>
      </c>
      <c r="D7" s="25" t="s">
        <v>254</v>
      </c>
      <c r="E7" s="25" t="s">
        <v>255</v>
      </c>
      <c r="F7" s="25" t="s">
        <v>248</v>
      </c>
      <c r="G7" s="25" t="s">
        <v>249</v>
      </c>
    </row>
    <row r="8" spans="1:7" ht="26.4" x14ac:dyDescent="0.3">
      <c r="A8" s="24" t="s">
        <v>256</v>
      </c>
      <c r="B8" s="25" t="s">
        <v>46</v>
      </c>
      <c r="C8" s="25" t="s">
        <v>257</v>
      </c>
      <c r="D8" s="25" t="s">
        <v>258</v>
      </c>
      <c r="E8" s="25" t="s">
        <v>259</v>
      </c>
      <c r="F8" s="25" t="s">
        <v>248</v>
      </c>
      <c r="G8" s="25" t="s">
        <v>249</v>
      </c>
    </row>
    <row r="9" spans="1:7" x14ac:dyDescent="0.3">
      <c r="A9" s="24" t="s">
        <v>260</v>
      </c>
      <c r="B9" s="25" t="s">
        <v>97</v>
      </c>
      <c r="C9" s="25" t="s">
        <v>73</v>
      </c>
      <c r="D9" s="25" t="s">
        <v>261</v>
      </c>
      <c r="E9" s="25" t="s">
        <v>262</v>
      </c>
      <c r="F9" s="25" t="s">
        <v>248</v>
      </c>
      <c r="G9" s="25" t="s">
        <v>249</v>
      </c>
    </row>
    <row r="10" spans="1:7" ht="26.4" x14ac:dyDescent="0.3">
      <c r="A10" s="24" t="s">
        <v>263</v>
      </c>
      <c r="B10" s="25" t="s">
        <v>97</v>
      </c>
      <c r="C10" s="25" t="s">
        <v>73</v>
      </c>
      <c r="D10" s="25" t="s">
        <v>264</v>
      </c>
      <c r="E10" s="25" t="s">
        <v>265</v>
      </c>
      <c r="F10" s="25" t="s">
        <v>248</v>
      </c>
      <c r="G10" s="25" t="s">
        <v>249</v>
      </c>
    </row>
    <row r="11" spans="1:7" ht="26.4" x14ac:dyDescent="0.3">
      <c r="A11" s="24" t="s">
        <v>266</v>
      </c>
      <c r="B11" s="25" t="s">
        <v>56</v>
      </c>
      <c r="C11" s="25" t="s">
        <v>73</v>
      </c>
      <c r="D11" s="25" t="s">
        <v>267</v>
      </c>
      <c r="E11" s="25" t="s">
        <v>268</v>
      </c>
      <c r="F11" s="25" t="s">
        <v>248</v>
      </c>
      <c r="G11" s="25" t="s">
        <v>249</v>
      </c>
    </row>
    <row r="12" spans="1:7" x14ac:dyDescent="0.3">
      <c r="A12" s="24" t="s">
        <v>269</v>
      </c>
      <c r="B12" s="25" t="s">
        <v>56</v>
      </c>
      <c r="C12" s="25" t="s">
        <v>270</v>
      </c>
      <c r="D12" s="25" t="s">
        <v>271</v>
      </c>
      <c r="E12" s="25" t="s">
        <v>272</v>
      </c>
      <c r="F12" s="25" t="s">
        <v>248</v>
      </c>
      <c r="G12" s="25" t="s">
        <v>249</v>
      </c>
    </row>
    <row r="13" spans="1:7" x14ac:dyDescent="0.3">
      <c r="A13" s="24" t="s">
        <v>273</v>
      </c>
      <c r="B13" s="25" t="s">
        <v>110</v>
      </c>
      <c r="C13" s="25" t="s">
        <v>73</v>
      </c>
      <c r="D13" s="25" t="s">
        <v>274</v>
      </c>
      <c r="E13" s="25" t="s">
        <v>275</v>
      </c>
      <c r="F13" s="25" t="s">
        <v>248</v>
      </c>
      <c r="G13" s="25" t="s">
        <v>249</v>
      </c>
    </row>
    <row r="14" spans="1:7" ht="26.4" x14ac:dyDescent="0.3">
      <c r="A14" s="24" t="s">
        <v>276</v>
      </c>
      <c r="B14" s="25" t="s">
        <v>110</v>
      </c>
      <c r="C14" s="25" t="s">
        <v>277</v>
      </c>
      <c r="D14" s="25" t="s">
        <v>278</v>
      </c>
      <c r="E14" s="25" t="s">
        <v>279</v>
      </c>
      <c r="F14" s="25" t="s">
        <v>248</v>
      </c>
      <c r="G14" s="25" t="s">
        <v>249</v>
      </c>
    </row>
    <row r="15" spans="1:7" ht="26.4" x14ac:dyDescent="0.3">
      <c r="A15" s="24" t="s">
        <v>120</v>
      </c>
      <c r="B15" s="25" t="s">
        <v>51</v>
      </c>
      <c r="C15" s="25" t="s">
        <v>73</v>
      </c>
      <c r="D15" s="25" t="s">
        <v>280</v>
      </c>
      <c r="E15" s="25" t="s">
        <v>281</v>
      </c>
      <c r="F15" s="25" t="s">
        <v>248</v>
      </c>
      <c r="G15" s="25" t="s">
        <v>249</v>
      </c>
    </row>
    <row r="16" spans="1:7" ht="26.4" x14ac:dyDescent="0.3">
      <c r="A16" s="24" t="s">
        <v>126</v>
      </c>
      <c r="B16" s="25" t="s">
        <v>49</v>
      </c>
      <c r="C16" s="25" t="s">
        <v>73</v>
      </c>
      <c r="D16" s="25" t="s">
        <v>282</v>
      </c>
      <c r="E16" s="25" t="s">
        <v>283</v>
      </c>
      <c r="F16" s="25" t="s">
        <v>248</v>
      </c>
      <c r="G16" s="25" t="s">
        <v>249</v>
      </c>
    </row>
    <row r="17" spans="1:7" ht="26.4" x14ac:dyDescent="0.3">
      <c r="A17" s="24" t="s">
        <v>284</v>
      </c>
      <c r="B17" s="25" t="s">
        <v>58</v>
      </c>
      <c r="C17" s="25" t="s">
        <v>73</v>
      </c>
      <c r="D17" s="25" t="s">
        <v>285</v>
      </c>
      <c r="E17" s="25" t="s">
        <v>286</v>
      </c>
      <c r="F17" s="25" t="s">
        <v>248</v>
      </c>
      <c r="G17" s="25" t="s">
        <v>249</v>
      </c>
    </row>
    <row r="18" spans="1:7" ht="26.4" x14ac:dyDescent="0.3">
      <c r="A18" s="24" t="s">
        <v>287</v>
      </c>
      <c r="B18" s="25" t="s">
        <v>58</v>
      </c>
      <c r="C18" s="25" t="s">
        <v>73</v>
      </c>
      <c r="D18" s="25" t="s">
        <v>288</v>
      </c>
      <c r="E18" s="25" t="s">
        <v>289</v>
      </c>
      <c r="F18" s="25" t="s">
        <v>248</v>
      </c>
      <c r="G18" s="25" t="s">
        <v>249</v>
      </c>
    </row>
    <row r="19" spans="1:7" ht="26.4" x14ac:dyDescent="0.3">
      <c r="A19" s="24" t="s">
        <v>138</v>
      </c>
      <c r="B19" s="25" t="s">
        <v>133</v>
      </c>
      <c r="C19" s="25" t="s">
        <v>73</v>
      </c>
      <c r="D19" s="25" t="s">
        <v>290</v>
      </c>
      <c r="E19" s="25" t="s">
        <v>291</v>
      </c>
      <c r="F19" s="25" t="s">
        <v>248</v>
      </c>
      <c r="G19" s="25" t="s">
        <v>249</v>
      </c>
    </row>
    <row r="20" spans="1:7" x14ac:dyDescent="0.3">
      <c r="A20" s="24" t="s">
        <v>144</v>
      </c>
      <c r="B20" s="25" t="s">
        <v>69</v>
      </c>
      <c r="C20" s="25" t="s">
        <v>270</v>
      </c>
      <c r="D20" s="25" t="s">
        <v>292</v>
      </c>
      <c r="E20" s="25" t="s">
        <v>293</v>
      </c>
      <c r="F20" s="25" t="s">
        <v>248</v>
      </c>
      <c r="G20" s="25" t="s">
        <v>249</v>
      </c>
    </row>
    <row r="21" spans="1:7" x14ac:dyDescent="0.3">
      <c r="A21" s="24" t="s">
        <v>151</v>
      </c>
      <c r="B21" s="25" t="s">
        <v>62</v>
      </c>
      <c r="C21" s="25" t="s">
        <v>294</v>
      </c>
      <c r="D21" s="25" t="s">
        <v>295</v>
      </c>
      <c r="E21" s="25" t="s">
        <v>296</v>
      </c>
      <c r="F21" s="25" t="s">
        <v>248</v>
      </c>
      <c r="G21" s="25" t="s">
        <v>249</v>
      </c>
    </row>
    <row r="22" spans="1:7" ht="26.4" x14ac:dyDescent="0.3">
      <c r="A22" s="24" t="s">
        <v>156</v>
      </c>
      <c r="B22" s="25" t="s">
        <v>66</v>
      </c>
      <c r="C22" s="25" t="s">
        <v>294</v>
      </c>
      <c r="D22" s="25" t="s">
        <v>297</v>
      </c>
      <c r="E22" s="25" t="s">
        <v>298</v>
      </c>
      <c r="F22" s="25" t="s">
        <v>248</v>
      </c>
      <c r="G22" s="25" t="s">
        <v>249</v>
      </c>
    </row>
    <row r="23" spans="1:7" ht="26.4" x14ac:dyDescent="0.3">
      <c r="A23" s="24" t="s">
        <v>163</v>
      </c>
      <c r="B23" s="25" t="s">
        <v>157</v>
      </c>
      <c r="C23" s="25" t="s">
        <v>277</v>
      </c>
      <c r="D23" s="25" t="s">
        <v>299</v>
      </c>
      <c r="E23" s="25" t="s">
        <v>300</v>
      </c>
      <c r="F23" s="25" t="s">
        <v>248</v>
      </c>
      <c r="G23" s="25" t="s">
        <v>249</v>
      </c>
    </row>
    <row r="24" spans="1:7" x14ac:dyDescent="0.3">
      <c r="A24" s="24" t="s">
        <v>301</v>
      </c>
      <c r="B24" s="25" t="s">
        <v>164</v>
      </c>
      <c r="C24" s="25" t="s">
        <v>73</v>
      </c>
      <c r="D24" s="25" t="s">
        <v>302</v>
      </c>
      <c r="E24" s="25" t="s">
        <v>303</v>
      </c>
      <c r="F24" s="25" t="s">
        <v>248</v>
      </c>
      <c r="G24" s="25" t="s">
        <v>249</v>
      </c>
    </row>
    <row r="25" spans="1:7" ht="26.4" x14ac:dyDescent="0.3">
      <c r="A25" s="24" t="s">
        <v>304</v>
      </c>
      <c r="B25" s="25" t="s">
        <v>164</v>
      </c>
      <c r="C25" s="25" t="s">
        <v>277</v>
      </c>
      <c r="D25" s="25" t="s">
        <v>305</v>
      </c>
      <c r="E25" s="25" t="s">
        <v>306</v>
      </c>
      <c r="F25" s="25" t="s">
        <v>248</v>
      </c>
      <c r="G25" s="25" t="s">
        <v>249</v>
      </c>
    </row>
    <row r="26" spans="1:7" ht="26.4" x14ac:dyDescent="0.3">
      <c r="A26" s="24" t="s">
        <v>176</v>
      </c>
      <c r="B26" s="25" t="s">
        <v>170</v>
      </c>
      <c r="C26" s="25" t="s">
        <v>307</v>
      </c>
      <c r="D26" s="25" t="s">
        <v>308</v>
      </c>
      <c r="E26" s="25" t="s">
        <v>309</v>
      </c>
      <c r="F26" s="25" t="s">
        <v>248</v>
      </c>
      <c r="G26" s="25" t="s">
        <v>249</v>
      </c>
    </row>
    <row r="27" spans="1:7" ht="26.4" x14ac:dyDescent="0.3">
      <c r="A27" s="24" t="s">
        <v>310</v>
      </c>
      <c r="B27" s="25" t="s">
        <v>177</v>
      </c>
      <c r="C27" s="25" t="s">
        <v>73</v>
      </c>
      <c r="D27" s="25" t="s">
        <v>311</v>
      </c>
      <c r="E27" s="25" t="s">
        <v>312</v>
      </c>
      <c r="F27" s="25" t="s">
        <v>248</v>
      </c>
      <c r="G27" s="25" t="s">
        <v>249</v>
      </c>
    </row>
    <row r="28" spans="1:7" ht="26.4" x14ac:dyDescent="0.3">
      <c r="A28" s="24" t="s">
        <v>313</v>
      </c>
      <c r="B28" s="25" t="s">
        <v>177</v>
      </c>
      <c r="C28" s="25" t="s">
        <v>314</v>
      </c>
      <c r="D28" s="25" t="s">
        <v>315</v>
      </c>
      <c r="E28" s="25" t="s">
        <v>316</v>
      </c>
      <c r="F28" s="25" t="s">
        <v>248</v>
      </c>
      <c r="G28" s="25" t="s">
        <v>249</v>
      </c>
    </row>
    <row r="29" spans="1:7" x14ac:dyDescent="0.3">
      <c r="A29" s="24" t="s">
        <v>190</v>
      </c>
      <c r="B29" s="25" t="s">
        <v>37</v>
      </c>
      <c r="C29" s="25" t="s">
        <v>317</v>
      </c>
      <c r="D29" s="25" t="s">
        <v>318</v>
      </c>
      <c r="E29" s="25" t="s">
        <v>319</v>
      </c>
      <c r="F29" s="25" t="s">
        <v>248</v>
      </c>
      <c r="G29" s="25" t="s">
        <v>249</v>
      </c>
    </row>
    <row r="30" spans="1:7" x14ac:dyDescent="0.3">
      <c r="A30" s="24" t="s">
        <v>196</v>
      </c>
      <c r="B30" s="25" t="s">
        <v>64</v>
      </c>
      <c r="C30" s="25" t="s">
        <v>73</v>
      </c>
      <c r="D30" s="25" t="s">
        <v>320</v>
      </c>
      <c r="E30" s="25" t="s">
        <v>321</v>
      </c>
      <c r="F30" s="25" t="s">
        <v>248</v>
      </c>
      <c r="G30" s="25" t="s">
        <v>249</v>
      </c>
    </row>
    <row r="31" spans="1:7" ht="26.4" x14ac:dyDescent="0.3">
      <c r="A31" s="24" t="s">
        <v>203</v>
      </c>
      <c r="B31" s="25" t="s">
        <v>198</v>
      </c>
      <c r="C31" s="25" t="s">
        <v>73</v>
      </c>
      <c r="D31" s="25" t="s">
        <v>322</v>
      </c>
      <c r="E31" s="25" t="s">
        <v>323</v>
      </c>
      <c r="F31" s="25" t="s">
        <v>248</v>
      </c>
      <c r="G31" s="25" t="s">
        <v>249</v>
      </c>
    </row>
    <row r="32" spans="1:7" x14ac:dyDescent="0.3">
      <c r="A32" s="24" t="s">
        <v>208</v>
      </c>
      <c r="B32" s="25" t="s">
        <v>41</v>
      </c>
      <c r="C32" s="25" t="s">
        <v>73</v>
      </c>
      <c r="D32" s="25" t="s">
        <v>324</v>
      </c>
      <c r="E32" s="25" t="s">
        <v>325</v>
      </c>
      <c r="F32" s="25" t="s">
        <v>248</v>
      </c>
      <c r="G32" s="25" t="s">
        <v>249</v>
      </c>
    </row>
    <row r="33" spans="1:7" ht="26.4" x14ac:dyDescent="0.3">
      <c r="A33" s="24" t="s">
        <v>215</v>
      </c>
      <c r="B33" s="25" t="s">
        <v>210</v>
      </c>
      <c r="C33" s="25" t="s">
        <v>73</v>
      </c>
      <c r="D33" s="25" t="s">
        <v>326</v>
      </c>
      <c r="E33" s="25" t="s">
        <v>327</v>
      </c>
      <c r="F33" s="25" t="s">
        <v>248</v>
      </c>
      <c r="G33" s="25" t="s">
        <v>249</v>
      </c>
    </row>
    <row r="34" spans="1:7" x14ac:dyDescent="0.3">
      <c r="A34" s="24" t="s">
        <v>220</v>
      </c>
      <c r="B34" s="25" t="s">
        <v>44</v>
      </c>
      <c r="C34" s="25" t="s">
        <v>328</v>
      </c>
      <c r="D34" s="25" t="s">
        <v>329</v>
      </c>
      <c r="E34" s="25" t="s">
        <v>330</v>
      </c>
      <c r="F34" s="25" t="s">
        <v>248</v>
      </c>
      <c r="G34" s="25" t="s">
        <v>249</v>
      </c>
    </row>
    <row r="35" spans="1:7" x14ac:dyDescent="0.3">
      <c r="A35" s="24" t="s">
        <v>331</v>
      </c>
      <c r="B35" s="25" t="s">
        <v>60</v>
      </c>
      <c r="C35" s="25" t="s">
        <v>332</v>
      </c>
      <c r="D35" s="25" t="s">
        <v>333</v>
      </c>
      <c r="E35" s="25" t="s">
        <v>334</v>
      </c>
      <c r="F35" s="25" t="s">
        <v>248</v>
      </c>
      <c r="G35" s="25" t="s">
        <v>249</v>
      </c>
    </row>
    <row r="36" spans="1:7" ht="26.4" x14ac:dyDescent="0.3">
      <c r="A36" s="24" t="s">
        <v>335</v>
      </c>
      <c r="B36" s="25" t="s">
        <v>60</v>
      </c>
      <c r="C36" s="25" t="s">
        <v>307</v>
      </c>
      <c r="D36" s="25" t="s">
        <v>336</v>
      </c>
      <c r="E36" s="25" t="s">
        <v>337</v>
      </c>
      <c r="F36" s="25" t="s">
        <v>248</v>
      </c>
      <c r="G36" s="25" t="s">
        <v>249</v>
      </c>
    </row>
    <row r="37" spans="1:7" ht="26.4" x14ac:dyDescent="0.3">
      <c r="A37" s="24" t="s">
        <v>231</v>
      </c>
      <c r="B37" s="25" t="s">
        <v>226</v>
      </c>
      <c r="C37" s="25" t="s">
        <v>338</v>
      </c>
      <c r="D37" s="25" t="s">
        <v>339</v>
      </c>
      <c r="E37" s="25" t="s">
        <v>340</v>
      </c>
      <c r="F37" s="25" t="s">
        <v>248</v>
      </c>
      <c r="G37" s="25" t="s">
        <v>249</v>
      </c>
    </row>
    <row r="38" spans="1:7" ht="26.4" x14ac:dyDescent="0.3">
      <c r="A38" s="24" t="s">
        <v>236</v>
      </c>
      <c r="B38" s="25" t="s">
        <v>232</v>
      </c>
      <c r="C38" s="25" t="s">
        <v>341</v>
      </c>
      <c r="D38" s="25" t="s">
        <v>342</v>
      </c>
      <c r="E38" s="25" t="s">
        <v>343</v>
      </c>
      <c r="F38" s="25" t="s">
        <v>248</v>
      </c>
      <c r="G38" s="25" t="s">
        <v>249</v>
      </c>
    </row>
  </sheetData>
  <autoFilter ref="A4:G38" xr:uid="{00000000-0009-0000-0000-000003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Matriz RF</vt:lpstr>
      <vt:lpstr>Matriz RNF</vt:lpstr>
      <vt:lpstr>Evidencias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Avance de requisitos FitLoyalty</dc:title>
  <dc:creator>FitLoyalty (agente ejecutor)</dc:creator>
  <cp:lastModifiedBy>luis sanchez</cp:lastModifiedBy>
  <dcterms:created xsi:type="dcterms:W3CDTF">2026-10-17T00:51:26Z</dcterms:created>
  <dcterms:modified xsi:type="dcterms:W3CDTF">2026-10-17T00:51:40Z</dcterms:modified>
</cp:coreProperties>
</file>