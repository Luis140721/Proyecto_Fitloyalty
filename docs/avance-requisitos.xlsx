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A6023229-9EEF-4186-A584-DDA388B9850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7" i="4"/>
  <c r="B6" i="4"/>
  <c r="B5" i="4"/>
  <c r="B4" i="4"/>
  <c r="B3" i="4"/>
  <c r="F16" i="3"/>
  <c r="F15" i="3"/>
  <c r="F14" i="3"/>
  <c r="F13" i="3"/>
  <c r="F12" i="3"/>
  <c r="F11" i="3"/>
  <c r="F10" i="3"/>
  <c r="F9" i="3"/>
  <c r="F8" i="3"/>
  <c r="F7" i="3"/>
  <c r="G4" i="4" s="1"/>
  <c r="F6" i="3"/>
  <c r="F5" i="3"/>
  <c r="G3" i="4" s="1"/>
  <c r="F4" i="3"/>
  <c r="F3" i="3"/>
  <c r="G5" i="4" s="1"/>
  <c r="F2" i="3"/>
  <c r="F23" i="2"/>
  <c r="F22" i="2"/>
  <c r="F21" i="2"/>
  <c r="F20" i="2"/>
  <c r="F19" i="2"/>
  <c r="F18" i="2"/>
  <c r="F17" i="2"/>
  <c r="F16" i="2"/>
  <c r="F15" i="2"/>
  <c r="F14" i="2"/>
  <c r="F13" i="2"/>
  <c r="G6" i="4" s="1"/>
  <c r="F12" i="2"/>
  <c r="F11" i="2"/>
  <c r="G7" i="4" s="1"/>
  <c r="F10" i="2"/>
  <c r="G2" i="4" s="1"/>
  <c r="F9" i="2"/>
  <c r="F8" i="2"/>
  <c r="F7" i="2"/>
  <c r="F6" i="2"/>
  <c r="F5" i="2"/>
  <c r="F4" i="2"/>
  <c r="F3" i="2"/>
  <c r="F2" i="2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2" i="4" s="1"/>
  <c r="H7" i="4" l="1"/>
  <c r="H6" i="4"/>
  <c r="H5" i="4"/>
  <c r="H4" i="4"/>
  <c r="H3" i="4"/>
  <c r="I8" i="1"/>
</calcChain>
</file>

<file path=xl/sharedStrings.xml><?xml version="1.0" encoding="utf-8"?>
<sst xmlns="http://schemas.openxmlformats.org/spreadsheetml/2006/main" count="786" uniqueCount="433">
  <si>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</si>
  <si>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</si>
  <si>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</si>
  <si>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</si>
  <si>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</si>
  <si>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</si>
  <si>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</si>
  <si>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</si>
  <si>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</si>
  <si>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</si>
  <si>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</si>
  <si>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</si>
  <si>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</si>
  <si>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</si>
  <si>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</si>
  <si>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</si>
  <si>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</si>
  <si>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</si>
  <si>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</si>
  <si>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</si>
  <si>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</si>
  <si>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</si>
  <si>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</si>
  <si>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</si>
  <si>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</si>
  <si>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</si>
  <si>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</si>
  <si>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</si>
  <si>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</si>
  <si>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</si>
  <si>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</si>
  <si>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</si>
  <si>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</si>
  <si>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</si>
  <si>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</si>
  <si>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</si>
  <si>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</si>
  <si>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</si>
  <si>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</si>
  <si>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</si>
  <si>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</si>
  <si>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</si>
  <si>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</si>
  <si>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</si>
  <si>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</si>
  <si>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</si>
  <si>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</si>
  <si>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</si>
  <si>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</si>
  <si>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</si>
  <si>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</si>
  <si>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</si>
  <si>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</si>
  <si>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</si>
  <si>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</si>
  <si>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</si>
  <si>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</si>
  <si>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</si>
  <si>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</si>
  <si>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</si>
  <si>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</si>
  <si>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</si>
  <si>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</si>
  <si>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</si>
  <si>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</si>
  <si>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</si>
  <si>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</si>
  <si>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</si>
  <si>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</si>
  <si>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</si>
  <si>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</si>
  <si>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</si>
  <si>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</si>
  <si>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</si>
  <si>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</si>
  <si>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</si>
  <si>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</si>
  <si>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</si>
  <si>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</si>
  <si>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</si>
  <si>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</si>
  <si>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</si>
  <si>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</si>
  <si>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</si>
  <si>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</si>
  <si>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</si>
  <si>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</si>
  <si>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</si>
  <si>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</si>
  <si>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</si>
  <si>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</si>
  <si>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</si>
  <si>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</si>
  <si>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</si>
  <si>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</si>
  <si>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</si>
  <si>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</si>
  <si>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</si>
  <si>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</si>
  <si>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</si>
  <si>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</si>
  <si>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</si>
  <si>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</si>
  <si>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</si>
  <si>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</si>
  <si>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</si>
  <si>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</si>
  <si>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</si>
  <si>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</si>
  <si>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</si>
  <si>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</si>
  <si>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</si>
  <si>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</si>
  <si>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</si>
  <si>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</si>
  <si>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HU-59</t>
  </si>
  <si>
    <t>EV-26, EV-27</t>
  </si>
  <si>
    <t>El sistema debe permitir recuperar la contraseña del personal mediante un código enviado al correo electrónico.</t>
  </si>
  <si>
    <t>RQF-18</t>
  </si>
  <si>
    <t>HU-60</t>
  </si>
  <si>
    <t>EV-28</t>
  </si>
  <si>
    <t>El sistema debe permitir exportar a CSV el listado de miembros activos con su membresía.</t>
  </si>
  <si>
    <t>RQF-19</t>
  </si>
  <si>
    <t>EV-29</t>
  </si>
  <si>
    <t>El sistema debe permitir registrar un gimnasio junto con la cuenta de su propietario.</t>
  </si>
  <si>
    <t>RQF-20</t>
  </si>
  <si>
    <t>Configuración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</si>
  <si>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</si>
  <si>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</si>
  <si>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</si>
  <si>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</si>
  <si>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</si>
  <si>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</si>
  <si>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</si>
  <si>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</si>
  <si>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</si>
  <si>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</si>
  <si>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</si>
  <si>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</si>
  <si>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</si>
  <si>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</si>
  <si>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</si>
  <si>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</si>
  <si>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</si>
  <si>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</si>
  <si>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</si>
  <si>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</si>
  <si>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</si>
  <si>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</si>
  <si>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</si>
  <si>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</si>
  <si>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</si>
  <si>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</si>
  <si>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</si>
  <si>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</si>
  <si>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</si>
  <si>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</si>
  <si>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</si>
  <si>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</si>
  <si>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</si>
  <si>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</si>
  <si>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</si>
  <si>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</si>
  <si>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</si>
  <si>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</si>
  <si>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</si>
  <si>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</si>
  <si>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</si>
  <si>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</si>
  <si>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</si>
  <si>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</si>
  <si>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</si>
  <si>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</si>
  <si>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</si>
  <si>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</si>
  <si>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</si>
  <si>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</si>
  <si>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</si>
  <si>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</si>
  <si>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</si>
  <si>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</si>
  <si>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</si>
  <si>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</si>
  <si>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</si>
  <si>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</si>
  <si>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</si>
  <si>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</si>
  <si>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</si>
  <si>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</si>
  <si>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</si>
  <si>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</si>
  <si>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</si>
  <si>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</si>
  <si>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EV-48</t>
  </si>
  <si>
    <t>El sistema debe exponer un endpoint de verificación de salud para el monitoreo del servicio.</t>
  </si>
  <si>
    <t>RQNF-14</t>
  </si>
  <si>
    <t>EV-49</t>
  </si>
  <si>
    <t>El sistema debe manejar los errores de forma centralizada, devolviendo respuestas consistentes.</t>
  </si>
  <si>
    <t>RQNF-15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</si>
  <si>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</si>
  <si>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</si>
  <si>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</si>
  <si>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</si>
  <si>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</si>
  <si>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</si>
  <si>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</si>
  <si>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Santiago</t>
  </si>
  <si>
    <t>Bajo</t>
  </si>
  <si>
    <t>Medio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</si>
  <si>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</si>
  <si>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</si>
  <si>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</si>
  <si>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</si>
  <si>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</si>
  <si>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</si>
  <si>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</si>
  <si>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</si>
  <si>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</si>
  <si>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</si>
  <si>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2026-10-16</t>
  </si>
  <si>
    <t>Agente ejecutor (Claude)</t>
  </si>
  <si>
    <t>EV-02</t>
  </si>
  <si>
    <t>EV-03</t>
  </si>
  <si>
    <t>EV-04</t>
  </si>
  <si>
    <t>Código (hallazgo)</t>
  </si>
  <si>
    <t>EV-05</t>
  </si>
  <si>
    <t>Rechazo de documento / correo duplicado y QR único.</t>
  </si>
  <si>
    <t>EV-06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</si>
  <si>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</si>
  <si>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</si>
  <si>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</si>
  <si>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</si>
  <si>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</si>
  <si>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</si>
  <si>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Lectura HID tipo teclado (autoFocus + Enter) y por cámara.</t>
  </si>
  <si>
    <t>EV-10</t>
  </si>
  <si>
    <t>Código / esquema</t>
  </si>
  <si>
    <t>Inserción del ingreso con marca de tiempo automática.</t>
  </si>
  <si>
    <t>EV-13</t>
  </si>
  <si>
    <t>EV-14</t>
  </si>
  <si>
    <t>backend/migrations/002_esquema_inicial.sql:171-202</t>
  </si>
  <si>
    <t>Tablas de campañas y plantillas sin rutas ni pantalla.</t>
  </si>
  <si>
    <t>Código / datos</t>
  </si>
  <si>
    <t>backend/src/routes/cliente.js:392-418; ConsultasDB/Poblar_Tablas.sql:456-490</t>
  </si>
  <si>
    <t>Retos solo de lectura, cargados por SQL; sin CRUD ni progreso automático.</t>
  </si>
  <si>
    <t>EV-20</t>
  </si>
  <si>
    <t>EV-21</t>
  </si>
  <si>
    <t>EV-22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</si>
  <si>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</si>
  <si>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</si>
  <si>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</si>
  <si>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</si>
  <si>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</si>
  <si>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</si>
  <si>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</si>
  <si>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</si>
  <si>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</si>
  <si>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Prueba de 14 días, estado visible y bloqueo 402 al vencer.</t>
  </si>
  <si>
    <t>EV-26</t>
  </si>
  <si>
    <t>Recuperación de contraseña con código por correo.</t>
  </si>
  <si>
    <t>EV-27</t>
  </si>
  <si>
    <t>El código se devuelve en la respuesta si el correo no sale.</t>
  </si>
  <si>
    <t>Exportación CSV de miembros activos con su membresía.</t>
  </si>
  <si>
    <t>Registro del gimnasio y de su administrador.</t>
  </si>
  <si>
    <t>Configuración de precios y recordatorios por gimnasio.</t>
  </si>
  <si>
    <t>Registro del plan y del pago por miembro.</t>
  </si>
  <si>
    <t>EV-32</t>
  </si>
  <si>
    <t>EV-33</t>
  </si>
  <si>
    <t>Prueba (verificador)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</si>
  <si>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</si>
  <si>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</si>
  <si>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</si>
  <si>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</si>
  <si>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</si>
  <si>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EV-41</t>
  </si>
  <si>
    <t>Medición</t>
  </si>
  <si>
    <t>EV-42</t>
  </si>
  <si>
    <t>backend/Dockerfile; frontend/Dockerfile; frontend/nginx.conf; docker-compose.yml; render.yaml; vercel.json</t>
  </si>
  <si>
    <t>Contenedores definidos y despliegue en nube.</t>
  </si>
  <si>
    <t>Configuración / ejecución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</si>
  <si>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</si>
  <si>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</si>
  <si>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</si>
  <si>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Endpoints de salud para monitoreo.</t>
  </si>
  <si>
    <t>Errores manejados de forma centralizada.</t>
  </si>
  <si>
    <t>Rutas relativas a la raíz del repositorio en main @ 54b19fa (el CI de RQNF-11 en 8acab31). No se hicieron pruebas en vivo: la verificación es por lectura de código, pruebas existentes y CI.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</si>
  <si>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</si>
  <si>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Código / prueba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</si>
  <si>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</si>
  <si>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</si>
  <si>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</si>
  <si>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</si>
  <si>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</si>
  <si>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</si>
  <si>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backend/src/routes/miembros.js:193, :395, :286-290, :926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</si>
  <si>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</si>
  <si>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</si>
  <si>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Crear cuentas por invitación (POST /api/admin/staff/invite, staff.js:133), listar el personal (:357) y las invitaciones (:222), revocarlas (:251) y aceptar la invitación, que crea la cuenta (:499). PATCH /api/admin/staff/:id (:388) edita el nombre y el rol y desactiva o reactiva la cuenta; protege al dueño (OWNER_PROTECTED, :424) y no deja que uno se quite el acceso a sí mismo (SELF_LOCKOUT, :421). authenticate vuelve a leer al personal en cada petición (middleware/auth.js:10, :78): una cuenta desactivada o movida de gimnasio pierde el acceso en la siguiente petición, y el rol sale de la base. Dueño explícito en gimnasio.id_dueno (migración 013; registro en auth.js:157-162; sqlIdDueno en auth-helpers.js:188). Pantalla: StaffPage.jsx:138 (editar), :421 y :434 (desactivar y reactivar). PR #19.</t>
  </si>
  <si>
    <t>Implementado (2026-10-18; verificador b8f99d2, secciones 25.1 y 25.4). Observaciones abiertas: id_dueno puede apuntar a un usuario de otro gimnasio, porque la FK es solo id_dueno → usuario; se recomienda una FK compuesta (id_dueno, id_gimnasio) → usuario (id_usuario, id_gimnasio) (sección 25.2). El segundo bloque del relleno de la 013 debería exigir id_rol IS NULL. El PATCH no tiene pruebas automáticas ni escribe en auditoria (criterio 4 de HU-04, que el texto de RQF-01 no pide).</t>
  </si>
  <si>
    <t>GET /api/admin/dashboard: miembros activos (dashboard.js:165, :190), entradas de hoy con el día cortado en hora de Colombia (:170; ayudantes enHoraLocal e inicioLocal en :69 y :74), semana desde el lunes de Colombia (:233) y próximos vencimientos a 30 días (:248), sin las membresías congeladas (:85, :187, :256). GET /api/admin/dashboard/horas-pico (:344; periodos en :337 y hora local en :356):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 y #22.</t>
  </si>
  <si>
    <t>Implementado (2026-10-18; verificador 1be53f7, secciones 19 y 21.1). Desde el PR #22, «Vencen en 7 días» y «Próximos vencimientos» no cuentan las membresías congeladas. Observación: las comparaciones con columnas DATE (próximas a vencer y vencen en 7 días) siguen con CURRENT_DATE en UTC, así que de 19:00 a 24:00 en Colombia hay un día de desfase.</t>
  </si>
  <si>
    <t>DELETE /api/auth/account (auth.js:576): solo el administrador (403 NOT_ADMIN en :583) y solo el dueño, que es gimnasio.id_dueno (sqlIdDueno, auth-helpers.js:188; :594, 403 NOT_OWNER en :606), confirmando con su contraseña (:511, :611, 403 WRONG_PASSWORD) antes de abrir la transacción (:616). Borra los pasos de PASOS_ELIMINAR_CUENTA (:521) con un SAVEPOINT por paso (borrarPaso, :562), que solo omite una tabla o columna inexistente (42P01 y 42703, :555); el gimnasio se borra al final (:623), responde 404 si ya no existe (:626) y el rastro queda en el log (:631). La página pide la contraseña (EliminarCuentaPage.jsx:12, :124-126). PR #15, #21 y #19 (id_dueno).</t>
  </si>
  <si>
    <t>backend/src/routes/staff.js:133, :222, :251, :357, :388, :421, :424, :499; frontend/src/pages/StaffPage.jsx:138, :421, :434</t>
  </si>
  <si>
    <t>Invitar, listar, revocar, editar, desactivar y reactivar al personal; el dueño queda protegido (PR #19).</t>
  </si>
  <si>
    <t>backend/src/middleware/auth.js:10, :78; backend/migrations/013_gimnasio_id_dueno.sql; backend/src/lib/auth-helpers.js:188</t>
  </si>
  <si>
    <t>El rol y el acceso se leen de la base en cada petición; dueño explícito en gimnasio.id_dueno.</t>
  </si>
  <si>
    <t>backend/src/lib/auth-helpers.js:113, :135-143; backend/src/middleware/auth.js:63</t>
  </si>
  <si>
    <t>El token del personal siempre vence (8 h por defecto) y se rechazan los tokens sin vencimiento (PR #18).</t>
  </si>
  <si>
    <t>backend/src/routes/dashboard.js:69, :74, :85, :165, :170, :190, :233, :248, :337, :344, :356; frontend/src/pages/DashboardPage.jsx:49, :172, :226, :239-246, :279-288, :610-626</t>
  </si>
  <si>
    <t>KPIs del día con el corte en hora de Colombia, gráfica de horas pico, próximos vencimientos sin congeladas y refresco automático cada 60 s (PR #16 y #22).</t>
  </si>
  <si>
    <t>backend/src/routes/auth.js:511, :521, :555, :562, :576-641 (NOT_ADMIN :583, NOT_OWNER :606, WRONG_PASSWORD :611, BEGIN :616); backend/src/lib/auth-helpers.js:188; frontend/src/pages/EliminarCuentaPage.jsx:12, :124-126</t>
  </si>
  <si>
    <t>Eliminación de cuenta solo por el dueño (gimnasio.id_dueno) y con su contraseña, con un SAVEPOINT por paso y atómica (PR #15, #21 y #19).</t>
  </si>
  <si>
    <t>Parcial (2026-10-19): el registro de la fecha y el estado de cada envío no funciona con el esquema real. Santiago lo confirmó contra una copia de la base real (issue #24): envio_mensaje no tiene la columna canal (usa id_canal, con FK a canal_comunicacion, y exige mensaje_copiado NOT NULL; también tiene enviado_por), y canal_comunicacion solo tiene filas para los 3 gimnasios de ejemplo, así que no hay un id_canal válido. El endpoint responde 503 y el frontend oculta el error (MiembrosPage.jsx:847-849, MenuNotificaciones.jsx:95-98). El insert en notificacion (leido/leida y tipo) se corrige en el PR #23. Falta decidir cómo se crea el canal WhatsApp de cada gimnasio (bajo demanda o al registrarlo), qué se guarda en mensaje_copiado (el texto que se abrió en WhatsApp) y si enviado_por es el usuario del token. Además: solo WhatsApp por enlace wa.me; el estado no confirma la entrega y el correo no se usa para retención.</t>
  </si>
  <si>
    <t>Código / hallazgo</t>
  </si>
  <si>
    <t>Envío por WhatsApp; el registro en envio_mensaje falla con el esquema real (issue #24).</t>
  </si>
  <si>
    <t>POST /api/admin/notificaciones/enviado no guarda nada con el esquema real: envio_mensaje usa id_canal (FK a canal_comunicacion, sin filas para los gimnasios reales) y exige mensaje_copiado (issue #24).</t>
  </si>
  <si>
    <t>Buscar o crear el canal WhatsApp del gimnasio, mandar el mensaje desde el frontend e insertar en envio_mensaje con id_canal, mensaje_copiado y enviado_por, con una prueba contra el esquema real (issue #24)</t>
  </si>
  <si>
    <t>Implementado (2026-10-19; verificador 54b3cce, secciones 27.1, 29.2 y 31). Observaciones: un miembro congelado con el plan vigente todavía entra (la parte de RQF-04 que le falta a Santiago) y uno congelado con el plan vencido aparece como «Membresía vencida»; la deduplicación es de 10 minutos y la campana no agrupa por miembro.</t>
  </si>
  <si>
    <t>Implementado (2026-10-19; verificador 54b3cce, secciones 29.1 y 31): las migraciones describen el esquema de producción en las dos tablas que el código escribe, con el pg_dump idéntico. Observaciones: todavía difieren 13 tablas que el código no usa (sección 15); hay prefijos repetidos (004 y 005) y backend/src/db/migrations/001_invitacion_staff.sql no se aplica. Antes de desplegar, correr la 014 en una copia de producción dentro de BEGIN; … ROLLBACK; y confirmar que imprime dos veces «sin cambios».</t>
  </si>
  <si>
    <t>Bloqueo sin contar asistencia y aviso al administrador en la campana, sin repetirse en 10 minutos (PR #23).</t>
  </si>
  <si>
    <t>Migraciones versionadas aplicadas al iniciar; con la 014, notificacion y envio_mensaje quedan como en producción (pg_dump idéntico).</t>
  </si>
  <si>
    <t>POST /api/admin/miembros/:id/contrato/enviar con control de gimnasio (admin-contrato.js:76-92); vista previa e historial por API (:153, :181); botón «Enviar contrato» (MiembrosPage.jsx:901, :1784). Desde el PR #10 ya no se pregunta isWhatsAppReady() antes de enviar: sendWhatsAppText inicia el cliente perezoso y, si no queda listo, lanza WHATSAPP_NO_LISTO (whatsapp.js:229-238); admin-contrato.js:105-116 registra exito = false con la guía del QR y cliente_listo (:145). Pruebas en backend/tests/contrato.test.js y whatsapp-text.test.js.</t>
  </si>
  <si>
    <t>Implementado (2026-10-20; verificador 47dde34, sección 33.2): ya están las dos cosas que pedía la decisión de Luis. Observaciones: congelar entre las 19:00 y las 24:00 de Colombia toma el día siguiente (CURRENT_DATE en UTC), y renovar el plan mientras está congelada conserva congelado_desde.</t>
  </si>
  <si>
    <t>Implementado (2026-10-20; verificador 47dde34, sección 33.3), desde Pendiente. Menores: el mensaje dice «Te faltan 1» sin aclarar si son días o visitas; con dos hitos a la vez solo muestra el mensaje del primero; PUT /admin/hitos/:id con un id no numérico da 503 en vez de 400.</t>
  </si>
  <si>
    <t>Implementado (2026-10-18; verificador b8f99d2, secciones 22.6 y 25.4). Desde el PR #30, CheckinPage.jsx llama a marcarActividad() después de cada check-in correcto (:170, :225), así que un kiosco que solo usa la cámara ya no se cierra a los 30 min (verificador 47dde34, sección 33.2). Observaciones: la vigencia no está alineada: render.yaml:19 usa 24h y docker-compose.yml:61, 7d (se recomienda 8h). Con JWT_EXPIRES_IN en 0 o negativo el token nace vencido.</t>
  </si>
  <si>
    <t>backend/src/routes/admin-contrato.js:76-92, :105-116, :145, :153, :181; backend/src/lib/whatsapp.js:146, :229-238; backend/tests/contrato.test.js; backend/tests/whatsapp-text.test.js; frontend/src/pages/MiembrosPage.jsx:901, :1784</t>
  </si>
  <si>
    <t>Envío del contrato sin comprobar antes isWhatsAppReady(): el cliente se inicia al enviar y cada intento queda registrado (PR #10).</t>
  </si>
  <si>
    <t>2026-10-20</t>
  </si>
  <si>
    <t>Aviso diario a las 9:00 con reintento a las 15:00, sin congeladas, una vez por etapa y marcado solo si se envía (PR #10 y #30).</t>
  </si>
  <si>
    <t>Días de aviso por gimnasio desde Configuración; ejecución manual y vista previa.</t>
  </si>
  <si>
    <t>backend/migrations/010_congelar_membresia.sql; backend/src/routes/miembros.js:810, :869, :892; frontend/src/pages/MiembrosPage.jsx:238, :742, :1907; backend/src/routes/checkin.js:125-149; backend/src/jobs/expiracion.js:62</t>
  </si>
  <si>
    <t>Congelar y descongelar (PR #17); el check-in niega el ingreso con CONGELADO y el job la excluye (PR #30).</t>
  </si>
  <si>
    <t>Racha en hora de Colombia, hitos otorgados sin repetir y configurables por el administrador (PR #32).</t>
  </si>
  <si>
    <t>docs/evidencias/cobertura-backend-2026-10-20.txt (la medición inicial está en cobertura-backend-2026-10-16.txt)</t>
  </si>
  <si>
    <t>122 de 122 pruebas; cobertura de líneas de 97,72 % en checkin.js y 90,32 % en notificaciones.js.</t>
  </si>
  <si>
    <t>Login con bcrypt y límite de intentos, cierre manual y cierre automático por inactividad, vencimiento o 401; el check-in cuenta como actividad (PR #18 y #30).</t>
  </si>
  <si>
    <t>backend/scripts/medir-checkin.js (npm run medir:checkin) mide POST /api/admin/checkin contra una base local con 200 y 2000 miembros, por documento, QR directo y QR cifrado, y se niega a correr contra una base que no sea local. Resultado (docs/evidencias/rqnf-01-checkin.md): con 200 miembros el peor caso fue de 15 ms y el p95 de 13 ms; con 2000, de 60 ms. El verificador lo reprodujo con p95 de 6 a 8 ms, 0 errores y 181 respuestas 201 (61df91a, sección 36.2). PR #40.</t>
  </si>
  <si>
    <t>Implementado (2026-10-25; verificador 61df91a, sección 36.2): el límite es de 2 s y el check-in responde en milisegundos. Observaciones: mide solo el backend, no el lector HID ni el navegador; se midió en local, sin la red de Render y Neon; el documento debería aclarar que usa el esquema de Docker.</t>
  </si>
  <si>
    <t>CORS rechaza con 403 CORS_BLOCKED los orígenes que no están en FRONTEND_URL (index.js:57); las peticiones sin Origin (app Flutter, curl, healthz) pasan. 9 pruebas en backend/tests/cors-limites.test.js. PR #28.</t>
  </si>
  <si>
    <t>Implementado (2026-10-25; verificador 61df91a, sección 37.1). Regla de despliegue: no poner previews de Vercel en FRONTEND_URL, porque buildAcceptUrl (staff.js:66-67) arma el enlace de invitación con esa variable entera. Los previews de Vercel y Docker por 127.0.0.1 o desde la red local reciben 403.</t>
  </si>
  <si>
    <t>express-rate-limit: inicio de sesión 5 por minuto, recuperación de contraseña 3 por minuto, verify-reset-code, reset-password y DELETE /api/auth/account 5 cada 15 minutos, y login de la app 10 por minuto (index.js:66-91, :97-101, :116); trust proxy para tomar la IP real detrás de Render (index.js:44). Pruebas en backend/tests/cors-limites.test.js. PR #28.</t>
  </si>
  <si>
    <t>Implementado (2026-10-25; verificador 61df91a, sección 37.1): los tres limitadores nuevos responden 429 después de 5 intentos, cada uno con su propio contador.</t>
  </si>
  <si>
    <t>Capas en backend/src (routes, lib, middleware, jobs, db) y diagrama de arquitectura en el documento (sección 8). Scripts test y test:cov en backend/package.json (:8-9); jest.config.js mide src/lib, src/middleware, routes/checkin.js y routes/notificaciones.js (:15-19). Medición del 2026-10-20 sobre develop @ 3c35d53: 122 pruebas, todas pasan; cobertura de líneas de 97,72 % en routes/checkin.js y 90,32 % en routes/notificaciones.js (docs/evidencias/cobertura-backend-2026-10-20.txt). Desde el PR #41, el paso «Pruebas» del CI corre npm test en cada PR (.github/workflows/ci.yml:47-48). PR #33 y #41.</t>
  </si>
  <si>
    <t>Implementado (2026-10-20; verificador 47dde34, sección 34). Desde el PR #41 el CI corre npm test en cada PR, con 214 pruebas (verificador 61df91a, sección 36.3), así que se cierra la observación de que no lo hacía. Observaciones: no hay coverageThreshold, así que el CI no frena si la cobertura de check-in y alertas bajara del 70 %; jest.config.js no incluye src/jobs/abandono.js; la prueba de /enviado espera la columna canal, que no existe en el esquema real (issue #24).</t>
  </si>
  <si>
    <t>Existen /api/healthz y /api/health (index.js:123, :125). Monitor externo activo desde el 2026-10-25 (PR #42): .github/workflows/availability-monitor.yml consulta /api/healthz cada 5 minutos de 5:02 a 21:57 de Colombia (204 mediciones al día) y calienta el servicio a las 4:50; el reporte y la receta de conteo están en docs/evidencias/rqnf-02-disponibilidad.md.</t>
  </si>
  <si>
    <t>Sigue Pendiente (verificador 61df91a, sección 37.2): el monitor empezó hoy y todavía no hay historial. Calendario: Parcial el lunes 26 en la noche, con un día operativo completo; Implementado como pronto el domingo 1/11, con 7 días seguidos (de lunes a domingo) al 99 % o más. Si da menos de 99 %, queda en Parcial.</t>
  </si>
  <si>
    <t>Aplicación web React / Vite servida por Vercel que solo requiere navegador (frontend/package.json, vercel.json); QA responsive a 375 px (docs/sustentacion/evidencias/QA_Responsive_375px.md). Prueba del 2026-10-22 en Chrome 155, Firefox 157 y Edge 155: portada y formulario de inicio de sesión sin errores ni desbordamiento, con capturas (docs/evidencias/rqnf-06-navegadores.md, PR #43); el build de Vite 5 apunta a chrome87, firefox78 y edge88.</t>
  </si>
  <si>
    <t>Sigue Parcial (verificador 61df91a, sección 37.3): la prueba del #43 solo cubre la portada y el login, sin backend. Falta repetirla con el backend en las pantallas principales (inicio de sesión, dashboard, miembros, check-in y configuración) en Chrome, Firefox y Edge, con capturas (Daniel, D4).</t>
  </si>
  <si>
    <t>Implementado (2026-10-20; verificador 47dde34, sección 33.1).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el contrato no sale, pero el intento queda registrado con exito = false. Desde el PR #42, el monitor de disponibilidad mantiene despierto a Render de 4:50 a unas 22:12, lo que ayuda a que corran los crons de avisos; la limitación de Chrome sigue igual.</t>
  </si>
  <si>
    <t>Implementado (2026-10-20; verificador 47dde34, secciones 33.1 y 33.2).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los avisos no se marcan como enviados y se reintentan en la corrida siguiente. Además, el cron vive dentro del proceso web: si Render tiene el servicio dormido a las 9:00 y a las 15:00, no corre. Desde el PR #42, el monitor de disponibilidad mantiene despierto a Render de 4:50 a unas 22:12, lo que ayuda a que corran los crons de avisos; la limitación de Chrome sigue igual.</t>
  </si>
  <si>
    <t>Riesgo de seguridad: si el correo no sale (o con SHOW_DEV_CODE_IN_UI=true), la API devuelve el código en la respuesta (auth.js:355-362), así que cualquiera que sepa el correo de un usuario puede cambiarle la contraseña; desde el PR #28, verify-reset-code y reset-password tienen un límite de 5 intentos cada 15 minutos (ver RQNF-09).</t>
  </si>
  <si>
    <t>Solo el dueño, con su contraseña (PR #21); el dueño es gimnasio.id_dueno desde el PR #19. Probado por el verificador con el handler real sobre PostgreSQL 18 (94d5fbb, sección 16; 1be53f7, sección 21.2; b8f99d2, sección 25.2): responde 200 sin dejar filas del gimnasio ni tocar las de otro, 403 al administrador invitado y con la contraseña mala, y 500 sin borrar nada si una FK desconocida lo bloquea. Desde el PR #28, DELETE /api/auth/account tiene un límite de 5 intentos cada 15 minutos (index.js:86, :101), así que ya no se puede probar la contraseña del dueño sin freno.</t>
  </si>
  <si>
    <t>Motor diario de alertas Amarilla y Roja con umbrales por gimnasio, registro en alerta_abandono y campana (PR #39).</t>
  </si>
  <si>
    <t>2026-10-25</t>
  </si>
  <si>
    <t>Esquema / prueba</t>
  </si>
  <si>
    <t>backend/migrations/012_alerta_abandono_como_produccion.sql; backend/tests/abandono.test.js (28 pruebas); informe del verificador, commit 61df91a, §36.1</t>
  </si>
  <si>
    <t>Migración que alinea alerta_abandono con producción y pruebas del motor.</t>
  </si>
  <si>
    <t>docs/evidencias/rqnf-01-checkin.md; backend/scripts/medir-checkin.js (npm run medir:checkin)</t>
  </si>
  <si>
    <t>Check-in con 200 miembros: peor caso de 15 ms y p95 de 13 ms, frente a un límite de 2 s (PR #40).</t>
  </si>
  <si>
    <t>Monitor</t>
  </si>
  <si>
    <t>.github/workflows/availability-monitor.yml; docs/evidencias/rqnf-02-disponibilidad.md; backend/src/index.js:123, :125</t>
  </si>
  <si>
    <t>Monitor de /api/healthz cada 5 minutos en horario operativo, activo desde el 2026-10-25; todavía sin historial (PR #42).</t>
  </si>
  <si>
    <t>Documento / capturas</t>
  </si>
  <si>
    <t>docs/evidencias/rqnf-06-navegadores.md y docs/evidencias/capturas/; docs/sustentacion/evidencias/QA_Responsive_375px.md; frontend/package.json; vercel.json</t>
  </si>
  <si>
    <t>Portada y login en Chrome, Firefox y Edge con capturas (PR #43); faltan las pantallas principales con backend.</t>
  </si>
  <si>
    <t>backend/src/{routes,lib,middleware,jobs,db}; backend/package.json:8-9 (test y test:cov); backend/jest.config.js:15-19; backend/tests/; .github/workflows/ci.yml:47-48 (npm test en el CI)</t>
  </si>
  <si>
    <t>Arquitectura en capas, script de pruebas, cobertura sobre check-in y alertas, y pruebas en el CI (PR #33 y #41).</t>
  </si>
  <si>
    <t>backend/src/index.js:44, :66-91, :97-101, :116; backend/tests/cors-limites.test.js</t>
  </si>
  <si>
    <t>Límites de intentos en el login, la recuperación, verify-reset-code, reset-password, la eliminación de cuenta y el login de la app (PR #28).</t>
  </si>
  <si>
    <t>backend/src/index.js:57 (403 CORS_BLOCKED); backend/tests/cors-limites.test.js</t>
  </si>
  <si>
    <t>CORS rechaza con 403 los orígenes que no están en FRONTEND_URL (PR #28).</t>
  </si>
  <si>
    <t>Santiago (issue #24)</t>
  </si>
  <si>
    <t>Prueba de usabilidad del check-in manual con 3 personas sin formación técnica (D5)</t>
  </si>
  <si>
    <t>Daniel (D5)</t>
  </si>
  <si>
    <t>La prueba del #43 solo cubre la portada y el login sin backend; falta repetirla con el backend en las pantallas principales (inicio de sesión, dashboard, miembros, check-in y configuración) en los tres navegadores.</t>
  </si>
  <si>
    <t>Repetir la prueba de navegadores con el backend en marcha, con capturas por pantalla (D4)</t>
  </si>
  <si>
    <t>Daniel (D4)</t>
  </si>
  <si>
    <t>Monitor activo desde el 2026-10-25 (PR #42); falta el historial. Parcial el lunes 26 en la noche, con un día operativo completo; Implementado como pronto el domingo 1/11, con 7 días seguidos al 99 % o más.</t>
  </si>
  <si>
    <t>Juntar 7 días de mediciones del monitor y llenar el reporte del período (D3)</t>
  </si>
  <si>
    <t>Daniel (D3)</t>
  </si>
  <si>
    <t>Estado actualizado el 2026-10-25 con los PR fusionados en develop hasta ese día (develop @ 21e7e9c) y la confirmación del issue #24 sobre el esquema real; la verificación inicial fue el 2026-10-16 (main @ 54b19fa). Todas las cifras son fórmulas sobre las hojas RF y RNF.</t>
  </si>
  <si>
    <t>POST /api/auth/login con bcrypt (auth.js:212, :243) y límite de 5 intentos por minuto (index.js:66, :97); cierre manual (auth.js:313, AuthContext.jsx:223). El JWT del personal siempre vence: 8 h por defecto o JWT_EXPIRES_IN, y 8 h si la configuración no es válida (vigenciaTokenPersonal y generarToken, auth-helpers.js:113, :135-143); authenticate rechaza los tokens sin vencimiento (401 TOKEN_SIN_VENCIMIENTO, middleware/auth.js:63). Cierre automático tras 30 min sin actividad, compartido entre pestañas (AuthContext.jsx:23-27, :40, :150-178), al vencer el token y ante un 401 (api.js:115). PR #18.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</si>
  <si>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pantalla en MiembrosPage.jsx:238, :742, :1907. Desde el PR #30, el check-in niega el ingreso de una membresía congelada con estado CONGELADO, sin registrar asistencia (checkin.js:125-149); el job de avisos la excluye (expiracion.js:62) y la campana la muestra como acceso bloqueado (notificaciones.js:106-112); ULTIMO_PLAN trae congelado_desde (lib/planes.js:30).</t>
  </si>
  <si>
    <t>Motor diario (jobs/abandono.js:97, runJob) programado a las 8:00 en hora de Colombia (scheduler.js:71): clasifica en AMARILLA desde umbral_alerta_amarilla días sin ingresar (7 por defecto) y en ROJA desde umbral_alerta_roja (15) (abandono.js:35-37), y deja una sola alerta PENDIENTE por miembro en alerta_abandono: la sube de nivel, la cierra como GESTIONADA si vuelve e IGNORADA si deja de aplicar (congela, vence o se da de baja) (abandono.js:19-22). Umbrales por gimnasio con validación: la roja debe ser mayor que la amarilla o responde 400 (config.js:36-71; ConfigPage.jsx:18-19, :45-46); la campana los lista, ROJA primero (notificaciones.js:149-207); ejecución manual con POST /api/jobs/abandono/run (jobs.js:46). La migración 012 alinea alerta_abandono con producción. 28 pruebas en backend/tests/abandono.test.js. PR #39.</t>
  </si>
  <si>
    <t>Implementado (2026-10-25, decisión de Luis; verificador 61df91a, sección 36.1). Observaciones: la campana muestra lo que dejó el job diario, así que un miembro que congela o vuelve hoy sigue «en riesgo» hasta el día siguiente; si Render duerme a las 8:00 el job no corre, aunque el monitor del #42 lo mantiene despierto de 4:50 a unas 22:12. Santiago hará en un PR de seguimiento el filtro de la campana y correr el job al arrancar. Hay tres cálculos distintos de «en riesgo» (dashboard, Miembros y job) y los días se cuentan en UTC.</t>
  </si>
  <si>
    <t>Botón de WhatsApp con el mensaje armado para los miembros en riesgo (MenuNotificaciones.jsx:84-99, MiembrosPage.jsx:836-849). El registro de cada envío lo hace POST /api/admin/notificaciones/enviado (notificaciones.js:259), que inserta en envio_mensaje (:282) y en notificacion (:288).</t>
  </si>
  <si>
    <t>En cada check-in correcto (checkin.js:211-217), calcularGamificacion (lib/gamificacion.js:54) calcula la racha de días seguidos en hora de Colombia (:18, :25), otorga los hitos alcanzados sin repetirlos (ON CONFLICT, :90-94) y arma el mensaje (:41-46), que la pantalla de check-in muestra con la racha y los hitos logrados (CheckinPage.jsx:393-402). El administrador configura los hitos con GET, POST, PUT y DELETE /api/admin/hitos (config.js:248-351) y la pantalla HitosConfig en Configuración (ConfigPage.jsx:327). 12 pruebas en backend/tests/gamificacion.test.js. PR #32.</t>
  </si>
  <si>
    <t>Cron a las 9:00 y a las 15:00 (reintento) en America/Bogota (scheduler.js:64-65); selección de planes por vencer sin las membresías congeladas (expiracion.js:43-62); un aviso al entrar en la ventana y otro el día 0, y si el servidor estuvo dormido ese día sale al siguiente (:101-103, :156-168); el aviso solo se marca si el envío no falla (:217-218), y sendWhatsAppText inicia el cliente y lanza WHATSAPP_NO_LISTO si no queda listo (whatsapp.js:229-238). Días de aviso por gimnasio desde Configuración, entre 0 y 30 (config.js:33, :177; ConfigPage.jsx:242-245). POST /api/jobs/expiracion/run y GET /api/jobs/expiracion/preview (jobs.js:32, :56); migraciones 006 y 007. Pruebas en backend/tests/expiracion.test.js. PR #10 y #30.</t>
  </si>
  <si>
    <t>TRIAL_DAYS = 14 (trial.js:17, render.yaml); el registro fija trial_ends_at (auth.js:127-139);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</si>
  <si>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ConfigPage.jsx:297-298 no tiene efecto (el trial usa TRIAL_DAYS). Comentarios desactualizados dicen 7 días (auth.js:6, :99; trial.js:7).</t>
  </si>
  <si>
    <t>POST /api/auth/forgot-password genera un código de 6 dígitos con vigencia de 15 minutos y lo envía (auth.js:322, email.js:289); POST /verify-reset-code (auth.js:378) y POST /reset-password con bcrypt (auth.js:417, :465); pantalla ForgotPasswordPage.jsx:121, :143, :161; límite de 3 solicitudes por minuto en forgot-password (index.js:71, :98) y, desde el PR #28, de 5 intentos cada 15 minutos en verify-reset-code y reset-password (index.js:76-85, :99-100).</t>
  </si>
  <si>
    <t>POST /api/auth/signup crea el gimnasio y la cuenta del administrador dueño en una transacción (auth.js:101-207, INSERT en :135 y COMMIT en :174); pantalla RegisterOwnerPage.jsx (ruta /register-owner, App.jsx:38).</t>
  </si>
  <si>
    <t>GET y PUT /api/admin/config con precios por tipo de plan, recordatorio_cobro_activo y dias_recordatorio_default (config.js:20-30, :98, :134); pantalla ConfigPage.jsx:30, :52; los avisos de cobro lo usan (notificaciones.js:49-74).</t>
  </si>
  <si>
    <t>bcrypt.hash / compare en registro, login, restablecimiento e invitación (auth.js:146, :243, :465; staff.js:546) y para miembros (miembros.js:401, :638; cliente.js:88); API de producción por HTTPS (frontend/src/api.js:26) y frontend en Vercel con HTTPS.</t>
  </si>
  <si>
    <t>Observación: la clave de cifrado del QR tiene un valor por defecto en el código (miembros.js:38, checkin.js:21).</t>
  </si>
  <si>
    <t>Cada gimnasio nuevo se crea por registro, sin tocar código (auth.js:101, :135); las consultas filtran por el id_gimnasio del token (p. ej. miembros.js:371, checkin.js:84, dashboard.js:166, notificaciones.js:270). Desde el PR #11: vista.js exige rol de personal (:20), rechaza al personal sin gimnasio (:28) y filtra por gimnasio (:32, :46) sobre la vista de la migración 011; asistencia.js exige rol de personal (:22); checkin.js deriva la clave del QR una sola vez (:28, :33). 9 pruebas en backend/tests/aislamiento.test.js.</t>
  </si>
  <si>
    <t>applyMigrations lee backend/migrations en orden, aplica solo las pendientes y las registra en schema_migrations (migrate.js:15-56); se ejecuta al arrancar (index.js:150-154). Migraciones 002 a 011, 013 y 014: la 009 (PR #14) crea auditoria y las columnas de gamificación de producción, la 010 (PR #17) el congelamiento, la 011 (PR #11) recrea vista_miembros_activos con id_gimnasio, la 013 (PR #19) agrega gimnasio.id_dueno y la 014 (PR #27) reconstruye notificacion y envio_mensaje con el DDL de ConsultasDB (014:118, :267): el pg_dump -s de esas dos tablas y sus secuencias sale idéntico al de producción, sin perder filas.</t>
  </si>
  <si>
    <t>.github/workflows/ci.yml corre en pull_request y en push a main y develop (:3-6): el job rama valida el nombre de la rama en cada PR (:13-26), backend npm ci + node --check (:42-44) y las pruebas con npm test (:47-48), y frontend npm ci + build (:62-63); ejecución exitosa en main 8acab31 (pestaña Actions) y en cada PR hacia develop.</t>
  </si>
  <si>
    <t>Observación: desde el PR #41 el CI corre npm test en cada PR, pero no mide cobertura ni tiene un umbral mínimo (coverageThreshold).</t>
  </si>
  <si>
    <t>/api/healthz responde estado y uptime (index.js:123); /api/health comprueba la base de datos y responde 503 si no hay conexión (index.js:125-132).</t>
  </si>
  <si>
    <t>Manejador central y 404 JSON (middleware/errorHandler.js:17, :24-49) registrados al final de la app (index.js:135-139); AppError con código y estado (lib/errors.js) y asyncHandler para rutas async (lib/asyncHandler.js).</t>
  </si>
  <si>
    <t>backend/src/routes/auth.js:212, :243, :313; backend/src/index.js:66, :97; frontend/src/context/AuthContext.jsx:23-27, :40, :150-178, :223; frontend/src/api.js:115; frontend/src/pages/CheckinPage.jsx:170, :225 (marcarActividad)</t>
  </si>
  <si>
    <t>backend/src/jobs/abandono.js:19-37, :97; backend/src/jobs/scheduler.js:71; backend/src/routes/config.js:36-71; backend/src/routes/notificaciones.js:149-207; backend/src/routes/jobs.js:46; frontend/src/pages/ConfigPage.jsx:18-19, :45-46</t>
  </si>
  <si>
    <t>frontend/src/components/MenuNotificaciones.jsx:84-99; frontend/src/pages/MiembrosPage.jsx:836-849; backend/src/routes/notificaciones.js:259, :282, :288; issue #24</t>
  </si>
  <si>
    <t>backend/src/lib/gamificacion.js:18-122; backend/src/routes/checkin.js:211-217; backend/src/routes/config.js:248-351; frontend/src/pages/CheckinPage.jsx:393-402; frontend/src/components/HitosConfig.jsx; backend/tests/gamificacion.test.js</t>
  </si>
  <si>
    <t>backend/src/jobs/scheduler.js:64-65; backend/src/jobs/expiracion.js:43-62, :101-103, :156-168, :217-218; backend/tests/expiracion.test.js</t>
  </si>
  <si>
    <t>backend/src/routes/config.js:33, :177; frontend/src/pages/ConfigPage.jsx:242-245; backend/src/routes/jobs.js:32, :56; backend/migrations/006_gimnasio_dias_aviso.sql; 007_alerta_vencimiento_enviada.sql</t>
  </si>
  <si>
    <t>backend/src/lib/trial.js:17, :52-74; backend/src/routes/billing.js:19; backend/src/routes/auth.js:127-139; render.yaml; frontend/src/components/AdminLayout.jsx:155</t>
  </si>
  <si>
    <t>backend/src/routes/auth.js:322, :378, :417, :465; backend/src/lib/email.js:289; frontend/src/pages/ForgotPasswordPage.jsx:121, :143, :161</t>
  </si>
  <si>
    <t>backend/src/routes/auth.js:355-362</t>
  </si>
  <si>
    <t>backend/src/routes/auth.js:101-207; frontend/src/pages/RegisterOwnerPage.jsx; frontend/src/App.jsx:38</t>
  </si>
  <si>
    <t>backend/src/routes/config.js:20-30, :98, :134; frontend/src/pages/ConfigPage.jsx:30, :52; backend/src/routes/notificaciones.js:49-74</t>
  </si>
  <si>
    <t>backend/src/routes/auth.js:146, :243, :465; staff.js:546; miembros.js:401, :638; cliente.js:88; frontend/src/api.js:26</t>
  </si>
  <si>
    <t>backend/src/routes/auth.js:101, :135; vista.js:20, :28, :32, :46; asistencia.js:22; checkin.js:28, :33, :84; miembros.js:371; dashboard.js:166; notificaciones.js:270</t>
  </si>
  <si>
    <t>backend/src/db/migrate.js:15-56; backend/src/index.js:150-154; backend/migrations/ (009, 010, 011, 013 y 014); informe del verificador, commit 54b3cce, §29.1 y §31</t>
  </si>
  <si>
    <t>.github/workflows/ci.yml:3-6, :13-26, :42-48, :62-63; https://github.com/Luis140721/Proyecto_Fitloyalty/actions (CI en main 8acab31: success)</t>
  </si>
  <si>
    <t>backend/src/index.js:123, :125-132</t>
  </si>
  <si>
    <t>backend/src/middleware/errorHandler.js:17-49; backend/src/lib/errors.js; backend/src/lib/asyncHandler.js; backend/src/index.js:135-139</t>
  </si>
  <si>
    <t>POST /api/admin/miembros rechaza documento o correo duplicados (miembros.js:370-382) y genera un código QR único (:384-392); editar con PUT (:620); desactivar con activo = FALSE (:677-688); pantalla MiembrosPage.jsx:635, :961, :450.</t>
  </si>
  <si>
    <t>Campo con autoFocus que recibe la lectura del lector HID tipo teclado y envía con Enter (CheckinPage.jsx:238-240, :346-348); lectura por cámara (CheckinPage.jsx:79); POST /api/admin/checkin inserta el ingreso (checkin.js:62, :203-208); fecha_hora DEFAULT CURRENT_TIMESTAMP (migración 002:100).</t>
  </si>
  <si>
    <t>Valida el último plan en el check-in (checkin.js:124-132) y, si está vencido o no hay plan, bloquea y responde VENCIDO sin registrar asistencia (:155-169; el INSERT en checkin de :204 queda fuera de ese camino); la pantalla muestra «Acceso denegado» (CheckinPage.jsx:25-29). Avisa al administrador: registrarAccesoBloqueado (lib/accesos.js:34) guarda el intento en notificacion sin repetirlo en 10 minutos (:20, :40-50) y la campana lo muestra primero (notificaciones.js:79-115, :175-190), con «Visto» (:226-241) y refresco cada 30 s (MenuNotificaciones.jsx:52, :72). PR #23, con la migración 014 (PR #27) para Docker.</t>
  </si>
  <si>
    <t>POST /api/cliente/login con teléfono y contraseña bcrypt (cliente.js:51, :88) y JWT de 30 días (auth-helpers.js:178);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</si>
  <si>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GET /api/admin/dashboard/export arma un CSV RFC 4180 de miembros activos con su plan (dashboard.js:383-432, helpers :32-51); el panel lo descarga (DashboardPage.jsx:304-314).</t>
  </si>
  <si>
    <t>Esquema de alta con valor_total, valor_pagado, metodo_pago y estado_pago (miembros.js:96-103); inserción en plan_cobro (miembros.js:452-463, migración 004); edición del plan (miembros.js:926); validaciones en MiembrosPage.jsx:357-358.</t>
  </si>
  <si>
    <t>backend/src/routes/miembros.js:370-382, :384-392</t>
  </si>
  <si>
    <t>backend/src/routes/miembros.js:620, :677-688; frontend/src/pages/MiembrosPage.jsx:635, :961, :450</t>
  </si>
  <si>
    <t>frontend/src/pages/CheckinPage.jsx:79, :238-240, :346-348</t>
  </si>
  <si>
    <t>backend/src/routes/checkin.js:62, :203-208; backend/migrations/002_esquema_inicial.sql:100</t>
  </si>
  <si>
    <t>backend/src/routes/checkin.js:124-169, :204; backend/src/lib/accesos.js:20, :34-53; backend/src/routes/notificaciones.js:79-115, :175-190, :226-241; frontend/src/components/MenuNotificaciones.jsx:52, :72; frontend/src/pages/CheckinPage.jsx:25-29</t>
  </si>
  <si>
    <t>backend/src/routes/cliente.js:51, :88, :112, :227, :259, :292, :340, :392; backend/src/lib/auth-helpers.js:178</t>
  </si>
  <si>
    <t>backend/src/routes/dashboard.js:32-51, :383-432; frontend/src/pages/DashboardPage.jsx:304-314</t>
  </si>
  <si>
    <t>backend/src/routes/miembros.js:96-103, :452-463, :926; backend/migrations/004_extender_miembro_cobros.sql:54; frontend/src/pages/MiembrosPage.jsx:208-209, :357-358</t>
  </si>
  <si>
    <t>Meta del plan de trabajo (90 %); la del 80 % pedida por Luis para la entrega ya está superada.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</si>
</sst>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0.88636363636363635</c:v>
                </c:pt>
                <c:pt idx="1">
                  <c:v>0.8666666666666667</c:v>
                </c:pt>
                <c:pt idx="2">
                  <c:v>0.8783783783783784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31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380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19</v>
      </c>
      <c r="E6" s="8">
        <f>COUNTIF(RF!$C$2:$C$100,"Parcial")</f>
        <v>1</v>
      </c>
      <c r="F6" s="8">
        <f>COUNTIF(RF!$C$2:$C$100,"Pendiente")</f>
        <v>2</v>
      </c>
      <c r="G6" s="9">
        <f>IF(C6=0,0,SUM(RF!$F$2:$F$100)/C6)</f>
        <v>0.88636363636363635</v>
      </c>
      <c r="H6" s="10">
        <f>Resumen!$C$40</f>
        <v>0.9</v>
      </c>
      <c r="I6" s="11">
        <f>MAX(0,H6*C6-G6*C6)</f>
        <v>0.30000000000000071</v>
      </c>
      <c r="J6" t="s">
        <v>12</v>
      </c>
      <c r="K6">
        <f>D8</f>
        <v>31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12</v>
      </c>
      <c r="E7" s="8">
        <f>COUNTIF(RNF!$C$2:$C$100,"Parcial")</f>
        <v>2</v>
      </c>
      <c r="F7" s="8">
        <f>COUNTIF(RNF!$C$2:$C$100,"Pendiente")</f>
        <v>1</v>
      </c>
      <c r="G7" s="9">
        <f>IF(C7=0,0,SUM(RNF!$F$2:$F$100)/C7)</f>
        <v>0.8666666666666667</v>
      </c>
      <c r="H7" s="10">
        <f>Resumen!$C$40</f>
        <v>0.9</v>
      </c>
      <c r="I7" s="11">
        <f>MAX(0,H7*C7-G7*C7)</f>
        <v>0.5</v>
      </c>
      <c r="J7" t="s">
        <v>14</v>
      </c>
      <c r="K7">
        <f>E8</f>
        <v>3</v>
      </c>
    </row>
    <row r="8" spans="2:11" x14ac:dyDescent="0.3">
      <c r="B8" s="12" t="s">
        <v>15</v>
      </c>
      <c r="C8" s="13">
        <f>C6+C7</f>
        <v>37</v>
      </c>
      <c r="D8" s="13">
        <f>D6+D7</f>
        <v>31</v>
      </c>
      <c r="E8" s="13">
        <f>E6+E7</f>
        <v>3</v>
      </c>
      <c r="F8" s="13">
        <f>F6+F7</f>
        <v>3</v>
      </c>
      <c r="G8" s="14">
        <f>IF(C8=0,0,(SUM(RF!$F$2:$F$100)+SUM(RNF!$F$2:$F$100))/C8)</f>
        <v>0.8783783783783784</v>
      </c>
      <c r="H8" s="15">
        <f>Resumen!$C$40</f>
        <v>0.9</v>
      </c>
      <c r="I8" s="16">
        <f>MAX(0,H8*C8-G8*C8)</f>
        <v>0.80000000000000426</v>
      </c>
      <c r="J8" t="s">
        <v>16</v>
      </c>
      <c r="K8">
        <f>F8</f>
        <v>3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9</v>
      </c>
      <c r="E31" s="8">
        <f>COUNTIFS(RF!$C$2:$C$100,"Parcial",RF!$G$2:$G$100,"Original")</f>
        <v>1</v>
      </c>
      <c r="F31" s="8">
        <f>COUNTIFS(RF!$C$2:$C$100,"Pendiente",RF!$G$2:$G$100,"Original")</f>
        <v>2</v>
      </c>
      <c r="G31" s="9">
        <f>IF(C31=0,0,SUMIFS(RF!$F$2:$F$100,RF!$G$2:$G$100,"Original")/C31)</f>
        <v>0.79166666666666663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5</v>
      </c>
      <c r="E32" s="8">
        <f>COUNTIFS(RNF!$C$2:$C$100,"Parcial",RNF!$G$2:$G$100,"Original")</f>
        <v>2</v>
      </c>
      <c r="F32" s="8">
        <f>COUNTIFS(RNF!$C$2:$C$100,"Pendiente",RNF!$G$2:$G$100,"Original")</f>
        <v>1</v>
      </c>
      <c r="G32" s="9">
        <f>IF(C32=0,0,SUMIFS(RNF!$F$2:$F$100,RNF!$G$2:$G$100,"Original")/C32)</f>
        <v>0.75</v>
      </c>
    </row>
    <row r="33" spans="2:7" x14ac:dyDescent="0.3">
      <c r="B33" s="12" t="s">
        <v>15</v>
      </c>
      <c r="C33" s="13">
        <f>C31+C32</f>
        <v>20</v>
      </c>
      <c r="D33" s="13">
        <f>D31+D32</f>
        <v>14</v>
      </c>
      <c r="E33" s="13">
        <f>E31+E32</f>
        <v>3</v>
      </c>
      <c r="F33" s="13">
        <f>F31+F32</f>
        <v>3</v>
      </c>
      <c r="G33" s="14">
        <f>IF(C33=0,0,(SUMIFS(RF!$F$2:$F$100,RF!$G$2:$G$100,"Original")+SUMIFS(RNF!$F$2:$F$100,RNF!$G$2:$G$100,"Original"))/C33)</f>
        <v>0.77500000000000002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0.9</v>
      </c>
      <c r="D40" s="17" t="s">
        <v>432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22</v>
      </c>
      <c r="B1" s="5" t="s">
        <v>23</v>
      </c>
      <c r="C1" s="5" t="s">
        <v>9</v>
      </c>
      <c r="D1" s="5" t="s">
        <v>24</v>
      </c>
      <c r="E1" s="5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</row>
    <row r="2" spans="1:10" ht="144" x14ac:dyDescent="0.3">
      <c r="A2" s="22" t="s">
        <v>31</v>
      </c>
      <c r="B2" s="23" t="s">
        <v>32</v>
      </c>
      <c r="C2" s="24" t="s">
        <v>12</v>
      </c>
      <c r="D2" s="23" t="s">
        <v>297</v>
      </c>
      <c r="E2" s="23" t="s">
        <v>298</v>
      </c>
      <c r="F2" s="25">
        <f>IFERROR(INDEX(Resumen!$C$36:$C$38,MATCH(C2,Resumen!$B$36:$B$38,0)),0)</f>
        <v>1</v>
      </c>
      <c r="G2" s="24" t="s">
        <v>33</v>
      </c>
      <c r="H2" s="23" t="s">
        <v>34</v>
      </c>
      <c r="I2" s="23" t="s">
        <v>35</v>
      </c>
      <c r="J2" s="23" t="s">
        <v>36</v>
      </c>
    </row>
    <row r="3" spans="1:10" ht="115.2" x14ac:dyDescent="0.3">
      <c r="A3" s="22" t="s">
        <v>37</v>
      </c>
      <c r="B3" s="23" t="s">
        <v>32</v>
      </c>
      <c r="C3" s="24" t="s">
        <v>12</v>
      </c>
      <c r="D3" s="23" t="s">
        <v>381</v>
      </c>
      <c r="E3" s="23" t="s">
        <v>324</v>
      </c>
      <c r="F3" s="25">
        <f>IFERROR(INDEX(Resumen!$C$36:$C$38,MATCH(C3,Resumen!$B$36:$B$38,0)),0)</f>
        <v>1</v>
      </c>
      <c r="G3" s="24" t="s">
        <v>33</v>
      </c>
      <c r="H3" s="23" t="s">
        <v>38</v>
      </c>
      <c r="I3" s="23" t="s">
        <v>39</v>
      </c>
      <c r="J3" s="23" t="s">
        <v>40</v>
      </c>
    </row>
    <row r="4" spans="1:10" ht="57.6" x14ac:dyDescent="0.3">
      <c r="A4" s="22" t="s">
        <v>41</v>
      </c>
      <c r="B4" s="23" t="s">
        <v>42</v>
      </c>
      <c r="C4" s="24" t="s">
        <v>12</v>
      </c>
      <c r="D4" s="23" t="s">
        <v>418</v>
      </c>
      <c r="E4" s="23" t="s">
        <v>43</v>
      </c>
      <c r="F4" s="25">
        <f>IFERROR(INDEX(Resumen!$C$36:$C$38,MATCH(C4,Resumen!$B$36:$B$38,0)),0)</f>
        <v>1</v>
      </c>
      <c r="G4" s="24" t="s">
        <v>33</v>
      </c>
      <c r="H4" s="23" t="s">
        <v>44</v>
      </c>
      <c r="I4" s="23" t="s">
        <v>45</v>
      </c>
      <c r="J4" s="23" t="s">
        <v>46</v>
      </c>
    </row>
    <row r="5" spans="1:10" ht="144" x14ac:dyDescent="0.3">
      <c r="A5" s="22" t="s">
        <v>47</v>
      </c>
      <c r="B5" s="23" t="s">
        <v>42</v>
      </c>
      <c r="C5" s="24" t="s">
        <v>12</v>
      </c>
      <c r="D5" s="23" t="s">
        <v>382</v>
      </c>
      <c r="E5" s="23" t="s">
        <v>322</v>
      </c>
      <c r="F5" s="25">
        <f>IFERROR(INDEX(Resumen!$C$36:$C$38,MATCH(C5,Resumen!$B$36:$B$38,0)),0)</f>
        <v>1</v>
      </c>
      <c r="G5" s="24" t="s">
        <v>33</v>
      </c>
      <c r="H5" s="23" t="s">
        <v>48</v>
      </c>
      <c r="I5" s="23" t="s">
        <v>49</v>
      </c>
      <c r="J5" s="23" t="s">
        <v>50</v>
      </c>
    </row>
    <row r="6" spans="1:10" ht="57.6" x14ac:dyDescent="0.3">
      <c r="A6" s="22" t="s">
        <v>51</v>
      </c>
      <c r="B6" s="23" t="s">
        <v>52</v>
      </c>
      <c r="C6" s="24" t="s">
        <v>12</v>
      </c>
      <c r="D6" s="23" t="s">
        <v>419</v>
      </c>
      <c r="E6" s="23" t="s">
        <v>53</v>
      </c>
      <c r="F6" s="25">
        <f>IFERROR(INDEX(Resumen!$C$36:$C$38,MATCH(C6,Resumen!$B$36:$B$38,0)),0)</f>
        <v>1</v>
      </c>
      <c r="G6" s="24" t="s">
        <v>33</v>
      </c>
      <c r="H6" s="23" t="s">
        <v>54</v>
      </c>
      <c r="I6" s="23" t="s">
        <v>55</v>
      </c>
      <c r="J6" s="23" t="s">
        <v>56</v>
      </c>
    </row>
    <row r="7" spans="1:10" ht="129.6" x14ac:dyDescent="0.3">
      <c r="A7" s="22" t="s">
        <v>57</v>
      </c>
      <c r="B7" s="23" t="s">
        <v>52</v>
      </c>
      <c r="C7" s="24" t="s">
        <v>12</v>
      </c>
      <c r="D7" s="23" t="s">
        <v>420</v>
      </c>
      <c r="E7" s="23" t="s">
        <v>317</v>
      </c>
      <c r="F7" s="25">
        <f>IFERROR(INDEX(Resumen!$C$36:$C$38,MATCH(C7,Resumen!$B$36:$B$38,0)),0)</f>
        <v>1</v>
      </c>
      <c r="G7" s="24" t="s">
        <v>33</v>
      </c>
      <c r="H7" s="23" t="s">
        <v>58</v>
      </c>
      <c r="I7" s="23" t="s">
        <v>59</v>
      </c>
      <c r="J7" s="23" t="s">
        <v>60</v>
      </c>
    </row>
    <row r="8" spans="1:10" ht="129.6" x14ac:dyDescent="0.3">
      <c r="A8" s="22" t="s">
        <v>61</v>
      </c>
      <c r="B8" s="23" t="s">
        <v>62</v>
      </c>
      <c r="C8" s="24" t="s">
        <v>12</v>
      </c>
      <c r="D8" s="23" t="s">
        <v>299</v>
      </c>
      <c r="E8" s="23" t="s">
        <v>300</v>
      </c>
      <c r="F8" s="25">
        <f>IFERROR(INDEX(Resumen!$C$36:$C$38,MATCH(C8,Resumen!$B$36:$B$38,0)),0)</f>
        <v>1</v>
      </c>
      <c r="G8" s="24" t="s">
        <v>33</v>
      </c>
      <c r="H8" s="23" t="s">
        <v>63</v>
      </c>
      <c r="I8" s="23" t="s">
        <v>64</v>
      </c>
      <c r="J8" s="23" t="s">
        <v>65</v>
      </c>
    </row>
    <row r="9" spans="1:10" ht="158.4" x14ac:dyDescent="0.3">
      <c r="A9" s="22" t="s">
        <v>66</v>
      </c>
      <c r="B9" s="23" t="s">
        <v>67</v>
      </c>
      <c r="C9" s="24" t="s">
        <v>12</v>
      </c>
      <c r="D9" s="23" t="s">
        <v>383</v>
      </c>
      <c r="E9" s="23" t="s">
        <v>384</v>
      </c>
      <c r="F9" s="25">
        <f>IFERROR(INDEX(Resumen!$C$36:$C$38,MATCH(C9,Resumen!$B$36:$B$38,0)),0)</f>
        <v>1</v>
      </c>
      <c r="G9" s="24" t="s">
        <v>33</v>
      </c>
      <c r="H9" s="23" t="s">
        <v>68</v>
      </c>
      <c r="I9" s="23" t="s">
        <v>69</v>
      </c>
      <c r="J9" s="23" t="s">
        <v>70</v>
      </c>
    </row>
    <row r="10" spans="1:10" ht="216" x14ac:dyDescent="0.3">
      <c r="A10" s="22" t="s">
        <v>71</v>
      </c>
      <c r="B10" s="23" t="s">
        <v>67</v>
      </c>
      <c r="C10" s="24" t="s">
        <v>14</v>
      </c>
      <c r="D10" s="23" t="s">
        <v>385</v>
      </c>
      <c r="E10" s="23" t="s">
        <v>312</v>
      </c>
      <c r="F10" s="25">
        <f>IFERROR(INDEX(Resumen!$C$36:$C$38,MATCH(C10,Resumen!$B$36:$B$38,0)),0)</f>
        <v>0.5</v>
      </c>
      <c r="G10" s="24" t="s">
        <v>33</v>
      </c>
      <c r="H10" s="23" t="s">
        <v>72</v>
      </c>
      <c r="I10" s="23" t="s">
        <v>73</v>
      </c>
      <c r="J10" s="23" t="s">
        <v>74</v>
      </c>
    </row>
    <row r="11" spans="1:10" ht="57.6" x14ac:dyDescent="0.3">
      <c r="A11" s="22" t="s">
        <v>75</v>
      </c>
      <c r="B11" s="23" t="s">
        <v>76</v>
      </c>
      <c r="C11" s="24" t="s">
        <v>16</v>
      </c>
      <c r="D11" s="23" t="s">
        <v>77</v>
      </c>
      <c r="E11" s="23" t="s">
        <v>78</v>
      </c>
      <c r="F11" s="25">
        <f>IFERROR(INDEX(Resumen!$C$36:$C$38,MATCH(C11,Resumen!$B$36:$B$38,0)),0)</f>
        <v>0</v>
      </c>
      <c r="G11" s="24" t="s">
        <v>33</v>
      </c>
      <c r="H11" s="23" t="s">
        <v>79</v>
      </c>
      <c r="I11" s="23" t="s">
        <v>80</v>
      </c>
      <c r="J11" s="23" t="s">
        <v>81</v>
      </c>
    </row>
    <row r="12" spans="1:10" ht="115.2" x14ac:dyDescent="0.3">
      <c r="A12" s="22" t="s">
        <v>82</v>
      </c>
      <c r="B12" s="23" t="s">
        <v>83</v>
      </c>
      <c r="C12" s="24" t="s">
        <v>12</v>
      </c>
      <c r="D12" s="23" t="s">
        <v>386</v>
      </c>
      <c r="E12" s="23" t="s">
        <v>323</v>
      </c>
      <c r="F12" s="25">
        <f>IFERROR(INDEX(Resumen!$C$36:$C$38,MATCH(C12,Resumen!$B$36:$B$38,0)),0)</f>
        <v>1</v>
      </c>
      <c r="G12" s="24" t="s">
        <v>33</v>
      </c>
      <c r="H12" s="23" t="s">
        <v>84</v>
      </c>
      <c r="I12" s="23" t="s">
        <v>85</v>
      </c>
      <c r="J12" s="23" t="s">
        <v>86</v>
      </c>
    </row>
    <row r="13" spans="1:10" ht="57.6" x14ac:dyDescent="0.3">
      <c r="A13" s="22" t="s">
        <v>87</v>
      </c>
      <c r="B13" s="23" t="s">
        <v>83</v>
      </c>
      <c r="C13" s="24" t="s">
        <v>16</v>
      </c>
      <c r="D13" s="23" t="s">
        <v>88</v>
      </c>
      <c r="E13" s="23" t="s">
        <v>89</v>
      </c>
      <c r="F13" s="25">
        <f>IFERROR(INDEX(Resumen!$C$36:$C$38,MATCH(C13,Resumen!$B$36:$B$38,0)),0)</f>
        <v>0</v>
      </c>
      <c r="G13" s="24" t="s">
        <v>33</v>
      </c>
      <c r="H13" s="23" t="s">
        <v>90</v>
      </c>
      <c r="I13" s="23" t="s">
        <v>91</v>
      </c>
      <c r="J13" s="23" t="s">
        <v>92</v>
      </c>
    </row>
    <row r="14" spans="1:10" ht="144" x14ac:dyDescent="0.3">
      <c r="A14" s="22" t="s">
        <v>93</v>
      </c>
      <c r="B14" s="23" t="s">
        <v>94</v>
      </c>
      <c r="C14" s="24" t="s">
        <v>12</v>
      </c>
      <c r="D14" s="23" t="s">
        <v>321</v>
      </c>
      <c r="E14" s="23" t="s">
        <v>348</v>
      </c>
      <c r="F14" s="25">
        <f>IFERROR(INDEX(Resumen!$C$36:$C$38,MATCH(C14,Resumen!$B$36:$B$38,0)),0)</f>
        <v>1</v>
      </c>
      <c r="G14" s="24" t="s">
        <v>95</v>
      </c>
      <c r="H14" s="23" t="s">
        <v>96</v>
      </c>
      <c r="I14" s="23" t="s">
        <v>97</v>
      </c>
      <c r="J14" s="23" t="s">
        <v>98</v>
      </c>
    </row>
    <row r="15" spans="1:10" ht="172.8" x14ac:dyDescent="0.3">
      <c r="A15" s="22" t="s">
        <v>99</v>
      </c>
      <c r="B15" s="23" t="s">
        <v>42</v>
      </c>
      <c r="C15" s="24" t="s">
        <v>12</v>
      </c>
      <c r="D15" s="23" t="s">
        <v>387</v>
      </c>
      <c r="E15" s="23" t="s">
        <v>349</v>
      </c>
      <c r="F15" s="25">
        <f>IFERROR(INDEX(Resumen!$C$36:$C$38,MATCH(C15,Resumen!$B$36:$B$38,0)),0)</f>
        <v>1</v>
      </c>
      <c r="G15" s="24" t="s">
        <v>95</v>
      </c>
      <c r="H15" s="23" t="s">
        <v>100</v>
      </c>
      <c r="I15" s="23" t="s">
        <v>101</v>
      </c>
      <c r="J15" s="23" t="s">
        <v>102</v>
      </c>
    </row>
    <row r="16" spans="1:10" ht="100.8" x14ac:dyDescent="0.3">
      <c r="A16" s="22" t="s">
        <v>103</v>
      </c>
      <c r="B16" s="23" t="s">
        <v>104</v>
      </c>
      <c r="C16" s="24" t="s">
        <v>12</v>
      </c>
      <c r="D16" s="23" t="s">
        <v>421</v>
      </c>
      <c r="E16" s="23" t="s">
        <v>105</v>
      </c>
      <c r="F16" s="25">
        <f>IFERROR(INDEX(Resumen!$C$36:$C$38,MATCH(C16,Resumen!$B$36:$B$38,0)),0)</f>
        <v>1</v>
      </c>
      <c r="G16" s="24" t="s">
        <v>95</v>
      </c>
      <c r="H16" s="23" t="s">
        <v>106</v>
      </c>
      <c r="I16" s="23" t="s">
        <v>107</v>
      </c>
      <c r="J16" s="23" t="s">
        <v>108</v>
      </c>
    </row>
    <row r="17" spans="1:10" ht="72" x14ac:dyDescent="0.3">
      <c r="A17" s="22" t="s">
        <v>109</v>
      </c>
      <c r="B17" s="23" t="s">
        <v>110</v>
      </c>
      <c r="C17" s="24" t="s">
        <v>12</v>
      </c>
      <c r="D17" s="23" t="s">
        <v>388</v>
      </c>
      <c r="E17" s="23" t="s">
        <v>389</v>
      </c>
      <c r="F17" s="25">
        <f>IFERROR(INDEX(Resumen!$C$36:$C$38,MATCH(C17,Resumen!$B$36:$B$38,0)),0)</f>
        <v>1</v>
      </c>
      <c r="G17" s="24" t="s">
        <v>95</v>
      </c>
      <c r="H17" s="23" t="s">
        <v>111</v>
      </c>
      <c r="I17" s="23" t="s">
        <v>112</v>
      </c>
      <c r="J17" s="23" t="s">
        <v>113</v>
      </c>
    </row>
    <row r="18" spans="1:10" ht="86.4" x14ac:dyDescent="0.3">
      <c r="A18" s="22" t="s">
        <v>114</v>
      </c>
      <c r="B18" s="23" t="s">
        <v>32</v>
      </c>
      <c r="C18" s="24" t="s">
        <v>12</v>
      </c>
      <c r="D18" s="23" t="s">
        <v>390</v>
      </c>
      <c r="E18" s="23" t="s">
        <v>350</v>
      </c>
      <c r="F18" s="25">
        <f>IFERROR(INDEX(Resumen!$C$36:$C$38,MATCH(C18,Resumen!$B$36:$B$38,0)),0)</f>
        <v>1</v>
      </c>
      <c r="G18" s="24" t="s">
        <v>95</v>
      </c>
      <c r="H18" s="23" t="s">
        <v>115</v>
      </c>
      <c r="I18" s="23" t="s">
        <v>116</v>
      </c>
      <c r="J18" s="23" t="s">
        <v>117</v>
      </c>
    </row>
    <row r="19" spans="1:10" ht="43.2" x14ac:dyDescent="0.3">
      <c r="A19" s="22" t="s">
        <v>118</v>
      </c>
      <c r="B19" s="23" t="s">
        <v>62</v>
      </c>
      <c r="C19" s="24" t="s">
        <v>12</v>
      </c>
      <c r="D19" s="23" t="s">
        <v>422</v>
      </c>
      <c r="E19" s="23" t="s">
        <v>53</v>
      </c>
      <c r="F19" s="25">
        <f>IFERROR(INDEX(Resumen!$C$36:$C$38,MATCH(C19,Resumen!$B$36:$B$38,0)),0)</f>
        <v>1</v>
      </c>
      <c r="G19" s="24" t="s">
        <v>95</v>
      </c>
      <c r="H19" s="23" t="s">
        <v>119</v>
      </c>
      <c r="I19" s="23" t="s">
        <v>120</v>
      </c>
      <c r="J19" s="23" t="s">
        <v>121</v>
      </c>
    </row>
    <row r="20" spans="1:10" ht="43.2" x14ac:dyDescent="0.3">
      <c r="A20" s="22" t="s">
        <v>122</v>
      </c>
      <c r="B20" s="23" t="s">
        <v>32</v>
      </c>
      <c r="C20" s="24" t="s">
        <v>12</v>
      </c>
      <c r="D20" s="23" t="s">
        <v>391</v>
      </c>
      <c r="E20" s="23" t="s">
        <v>53</v>
      </c>
      <c r="F20" s="25">
        <f>IFERROR(INDEX(Resumen!$C$36:$C$38,MATCH(C20,Resumen!$B$36:$B$38,0)),0)</f>
        <v>1</v>
      </c>
      <c r="G20" s="24" t="s">
        <v>95</v>
      </c>
      <c r="H20" s="23" t="s">
        <v>111</v>
      </c>
      <c r="I20" s="23" t="s">
        <v>123</v>
      </c>
      <c r="J20" s="23" t="s">
        <v>124</v>
      </c>
    </row>
    <row r="21" spans="1:10" ht="57.6" x14ac:dyDescent="0.3">
      <c r="A21" s="22" t="s">
        <v>125</v>
      </c>
      <c r="B21" s="23" t="s">
        <v>126</v>
      </c>
      <c r="C21" s="24" t="s">
        <v>12</v>
      </c>
      <c r="D21" s="23" t="s">
        <v>392</v>
      </c>
      <c r="E21" s="23" t="s">
        <v>127</v>
      </c>
      <c r="F21" s="25">
        <f>IFERROR(INDEX(Resumen!$C$36:$C$38,MATCH(C21,Resumen!$B$36:$B$38,0)),0)</f>
        <v>1</v>
      </c>
      <c r="G21" s="24" t="s">
        <v>95</v>
      </c>
      <c r="H21" s="23" t="s">
        <v>128</v>
      </c>
      <c r="I21" s="23" t="s">
        <v>129</v>
      </c>
      <c r="J21" s="23" t="s">
        <v>130</v>
      </c>
    </row>
    <row r="22" spans="1:10" ht="57.6" x14ac:dyDescent="0.3">
      <c r="A22" s="22" t="s">
        <v>131</v>
      </c>
      <c r="B22" s="23" t="s">
        <v>42</v>
      </c>
      <c r="C22" s="24" t="s">
        <v>12</v>
      </c>
      <c r="D22" s="23" t="s">
        <v>423</v>
      </c>
      <c r="E22" s="23" t="s">
        <v>132</v>
      </c>
      <c r="F22" s="25">
        <f>IFERROR(INDEX(Resumen!$C$36:$C$38,MATCH(C22,Resumen!$B$36:$B$38,0)),0)</f>
        <v>1</v>
      </c>
      <c r="G22" s="24" t="s">
        <v>95</v>
      </c>
      <c r="H22" s="23" t="s">
        <v>133</v>
      </c>
      <c r="I22" s="23" t="s">
        <v>134</v>
      </c>
      <c r="J22" s="23" t="s">
        <v>135</v>
      </c>
    </row>
    <row r="23" spans="1:10" ht="129.6" x14ac:dyDescent="0.3">
      <c r="A23" s="22" t="s">
        <v>136</v>
      </c>
      <c r="B23" s="23" t="s">
        <v>137</v>
      </c>
      <c r="C23" s="24" t="s">
        <v>12</v>
      </c>
      <c r="D23" s="23" t="s">
        <v>301</v>
      </c>
      <c r="E23" s="23" t="s">
        <v>351</v>
      </c>
      <c r="F23" s="25">
        <f>IFERROR(INDEX(Resumen!$C$36:$C$38,MATCH(C23,Resumen!$B$36:$B$38,0)),0)</f>
        <v>1</v>
      </c>
      <c r="G23" s="24" t="s">
        <v>95</v>
      </c>
      <c r="H23" s="23" t="s">
        <v>138</v>
      </c>
      <c r="I23" s="23" t="s">
        <v>139</v>
      </c>
      <c r="J23" s="23" t="s">
        <v>140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22</v>
      </c>
      <c r="B1" s="5" t="s">
        <v>23</v>
      </c>
      <c r="C1" s="5" t="s">
        <v>9</v>
      </c>
      <c r="D1" s="5" t="s">
        <v>24</v>
      </c>
      <c r="E1" s="5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</row>
    <row r="2" spans="1:10" ht="100.8" x14ac:dyDescent="0.3">
      <c r="A2" s="22" t="s">
        <v>141</v>
      </c>
      <c r="B2" s="23" t="s">
        <v>142</v>
      </c>
      <c r="C2" s="24" t="s">
        <v>12</v>
      </c>
      <c r="D2" s="23" t="s">
        <v>336</v>
      </c>
      <c r="E2" s="23" t="s">
        <v>337</v>
      </c>
      <c r="F2" s="25">
        <f>IFERROR(INDEX(Resumen!$C$36:$C$38,MATCH(C2,Resumen!$B$36:$B$38,0)),0)</f>
        <v>1</v>
      </c>
      <c r="G2" s="24" t="s">
        <v>33</v>
      </c>
      <c r="H2" s="23" t="s">
        <v>53</v>
      </c>
      <c r="I2" s="23" t="s">
        <v>143</v>
      </c>
      <c r="J2" s="23" t="s">
        <v>144</v>
      </c>
    </row>
    <row r="3" spans="1:10" ht="72" x14ac:dyDescent="0.3">
      <c r="A3" s="22" t="s">
        <v>145</v>
      </c>
      <c r="B3" s="23" t="s">
        <v>146</v>
      </c>
      <c r="C3" s="24" t="s">
        <v>16</v>
      </c>
      <c r="D3" s="23" t="s">
        <v>344</v>
      </c>
      <c r="E3" s="23" t="s">
        <v>345</v>
      </c>
      <c r="F3" s="25">
        <f>IFERROR(INDEX(Resumen!$C$36:$C$38,MATCH(C3,Resumen!$B$36:$B$38,0)),0)</f>
        <v>0</v>
      </c>
      <c r="G3" s="24" t="s">
        <v>33</v>
      </c>
      <c r="H3" s="23" t="s">
        <v>53</v>
      </c>
      <c r="I3" s="23" t="s">
        <v>147</v>
      </c>
      <c r="J3" s="23" t="s">
        <v>148</v>
      </c>
    </row>
    <row r="4" spans="1:10" ht="43.2" x14ac:dyDescent="0.3">
      <c r="A4" s="22" t="s">
        <v>149</v>
      </c>
      <c r="B4" s="23" t="s">
        <v>150</v>
      </c>
      <c r="C4" s="24" t="s">
        <v>12</v>
      </c>
      <c r="D4" s="23" t="s">
        <v>393</v>
      </c>
      <c r="E4" s="23" t="s">
        <v>394</v>
      </c>
      <c r="F4" s="25">
        <f>IFERROR(INDEX(Resumen!$C$36:$C$38,MATCH(C4,Resumen!$B$36:$B$38,0)),0)</f>
        <v>1</v>
      </c>
      <c r="G4" s="24" t="s">
        <v>33</v>
      </c>
      <c r="H4" s="23" t="s">
        <v>53</v>
      </c>
      <c r="I4" s="23" t="s">
        <v>151</v>
      </c>
      <c r="J4" s="23" t="s">
        <v>152</v>
      </c>
    </row>
    <row r="5" spans="1:10" ht="43.2" x14ac:dyDescent="0.3">
      <c r="A5" s="22" t="s">
        <v>153</v>
      </c>
      <c r="B5" s="23" t="s">
        <v>154</v>
      </c>
      <c r="C5" s="24" t="s">
        <v>14</v>
      </c>
      <c r="D5" s="23" t="s">
        <v>155</v>
      </c>
      <c r="E5" s="23" t="s">
        <v>156</v>
      </c>
      <c r="F5" s="25">
        <f>IFERROR(INDEX(Resumen!$C$36:$C$38,MATCH(C5,Resumen!$B$36:$B$38,0)),0)</f>
        <v>0.5</v>
      </c>
      <c r="G5" s="24" t="s">
        <v>33</v>
      </c>
      <c r="H5" s="23" t="s">
        <v>157</v>
      </c>
      <c r="I5" s="23" t="s">
        <v>158</v>
      </c>
      <c r="J5" s="23" t="s">
        <v>159</v>
      </c>
    </row>
    <row r="6" spans="1:10" ht="100.8" x14ac:dyDescent="0.3">
      <c r="A6" s="22" t="s">
        <v>160</v>
      </c>
      <c r="B6" s="23" t="s">
        <v>161</v>
      </c>
      <c r="C6" s="24" t="s">
        <v>12</v>
      </c>
      <c r="D6" s="23" t="s">
        <v>395</v>
      </c>
      <c r="E6" s="23" t="s">
        <v>286</v>
      </c>
      <c r="F6" s="25">
        <f>IFERROR(INDEX(Resumen!$C$36:$C$38,MATCH(C6,Resumen!$B$36:$B$38,0)),0)</f>
        <v>1</v>
      </c>
      <c r="G6" s="24" t="s">
        <v>33</v>
      </c>
      <c r="H6" s="23" t="s">
        <v>111</v>
      </c>
      <c r="I6" s="23" t="s">
        <v>162</v>
      </c>
      <c r="J6" s="23" t="s">
        <v>163</v>
      </c>
    </row>
    <row r="7" spans="1:10" ht="86.4" x14ac:dyDescent="0.3">
      <c r="A7" s="22" t="s">
        <v>164</v>
      </c>
      <c r="B7" s="23" t="s">
        <v>165</v>
      </c>
      <c r="C7" s="24" t="s">
        <v>14</v>
      </c>
      <c r="D7" s="23" t="s">
        <v>346</v>
      </c>
      <c r="E7" s="23" t="s">
        <v>347</v>
      </c>
      <c r="F7" s="25">
        <f>IFERROR(INDEX(Resumen!$C$36:$C$38,MATCH(C7,Resumen!$B$36:$B$38,0)),0)</f>
        <v>0.5</v>
      </c>
      <c r="G7" s="24" t="s">
        <v>33</v>
      </c>
      <c r="H7" s="23" t="s">
        <v>53</v>
      </c>
      <c r="I7" s="23" t="s">
        <v>166</v>
      </c>
      <c r="J7" s="23" t="s">
        <v>167</v>
      </c>
    </row>
    <row r="8" spans="1:10" ht="115.2" x14ac:dyDescent="0.3">
      <c r="A8" s="22" t="s">
        <v>168</v>
      </c>
      <c r="B8" s="23" t="s">
        <v>169</v>
      </c>
      <c r="C8" s="24" t="s">
        <v>12</v>
      </c>
      <c r="D8" s="23" t="s">
        <v>342</v>
      </c>
      <c r="E8" s="23" t="s">
        <v>343</v>
      </c>
      <c r="F8" s="25">
        <f>IFERROR(INDEX(Resumen!$C$36:$C$38,MATCH(C8,Resumen!$B$36:$B$38,0)),0)</f>
        <v>1</v>
      </c>
      <c r="G8" s="24" t="s">
        <v>33</v>
      </c>
      <c r="H8" s="23" t="s">
        <v>53</v>
      </c>
      <c r="I8" s="23" t="s">
        <v>170</v>
      </c>
      <c r="J8" s="23" t="s">
        <v>171</v>
      </c>
    </row>
    <row r="9" spans="1:10" ht="43.2" x14ac:dyDescent="0.3">
      <c r="A9" s="22" t="s">
        <v>172</v>
      </c>
      <c r="B9" s="23" t="s">
        <v>173</v>
      </c>
      <c r="C9" s="24" t="s">
        <v>12</v>
      </c>
      <c r="D9" s="23" t="s">
        <v>174</v>
      </c>
      <c r="E9" s="23" t="s">
        <v>175</v>
      </c>
      <c r="F9" s="25">
        <f>IFERROR(INDEX(Resumen!$C$36:$C$38,MATCH(C9,Resumen!$B$36:$B$38,0)),0)</f>
        <v>1</v>
      </c>
      <c r="G9" s="24" t="s">
        <v>33</v>
      </c>
      <c r="H9" s="23" t="s">
        <v>53</v>
      </c>
      <c r="I9" s="23" t="s">
        <v>176</v>
      </c>
      <c r="J9" s="23" t="s">
        <v>177</v>
      </c>
    </row>
    <row r="10" spans="1:10" ht="72" x14ac:dyDescent="0.3">
      <c r="A10" s="22" t="s">
        <v>178</v>
      </c>
      <c r="B10" s="23" t="s">
        <v>150</v>
      </c>
      <c r="C10" s="24" t="s">
        <v>12</v>
      </c>
      <c r="D10" s="23" t="s">
        <v>340</v>
      </c>
      <c r="E10" s="23" t="s">
        <v>341</v>
      </c>
      <c r="F10" s="25">
        <f>IFERROR(INDEX(Resumen!$C$36:$C$38,MATCH(C10,Resumen!$B$36:$B$38,0)),0)</f>
        <v>1</v>
      </c>
      <c r="G10" s="24" t="s">
        <v>95</v>
      </c>
      <c r="H10" s="23" t="s">
        <v>53</v>
      </c>
      <c r="I10" s="23" t="s">
        <v>179</v>
      </c>
      <c r="J10" s="23" t="s">
        <v>180</v>
      </c>
    </row>
    <row r="11" spans="1:10" ht="129.6" x14ac:dyDescent="0.3">
      <c r="A11" s="22" t="s">
        <v>181</v>
      </c>
      <c r="B11" s="23" t="s">
        <v>169</v>
      </c>
      <c r="C11" s="24" t="s">
        <v>12</v>
      </c>
      <c r="D11" s="23" t="s">
        <v>396</v>
      </c>
      <c r="E11" s="23" t="s">
        <v>318</v>
      </c>
      <c r="F11" s="25">
        <f>IFERROR(INDEX(Resumen!$C$36:$C$38,MATCH(C11,Resumen!$B$36:$B$38,0)),0)</f>
        <v>1</v>
      </c>
      <c r="G11" s="24" t="s">
        <v>95</v>
      </c>
      <c r="H11" s="23" t="s">
        <v>53</v>
      </c>
      <c r="I11" s="23" t="s">
        <v>182</v>
      </c>
      <c r="J11" s="23" t="s">
        <v>183</v>
      </c>
    </row>
    <row r="12" spans="1:10" ht="72" x14ac:dyDescent="0.3">
      <c r="A12" s="22" t="s">
        <v>184</v>
      </c>
      <c r="B12" s="23" t="s">
        <v>169</v>
      </c>
      <c r="C12" s="24" t="s">
        <v>12</v>
      </c>
      <c r="D12" s="23" t="s">
        <v>397</v>
      </c>
      <c r="E12" s="23" t="s">
        <v>398</v>
      </c>
      <c r="F12" s="25">
        <f>IFERROR(INDEX(Resumen!$C$36:$C$38,MATCH(C12,Resumen!$B$36:$B$38,0)),0)</f>
        <v>1</v>
      </c>
      <c r="G12" s="24" t="s">
        <v>95</v>
      </c>
      <c r="H12" s="23" t="s">
        <v>53</v>
      </c>
      <c r="I12" s="23" t="s">
        <v>185</v>
      </c>
      <c r="J12" s="23" t="s">
        <v>186</v>
      </c>
    </row>
    <row r="13" spans="1:10" ht="28.8" x14ac:dyDescent="0.3">
      <c r="A13" s="22" t="s">
        <v>187</v>
      </c>
      <c r="B13" s="23" t="s">
        <v>137</v>
      </c>
      <c r="C13" s="24" t="s">
        <v>12</v>
      </c>
      <c r="D13" s="23" t="s">
        <v>188</v>
      </c>
      <c r="E13" s="23" t="s">
        <v>53</v>
      </c>
      <c r="F13" s="25">
        <f>IFERROR(INDEX(Resumen!$C$36:$C$38,MATCH(C13,Resumen!$B$36:$B$38,0)),0)</f>
        <v>1</v>
      </c>
      <c r="G13" s="24" t="s">
        <v>95</v>
      </c>
      <c r="H13" s="23" t="s">
        <v>53</v>
      </c>
      <c r="I13" s="23" t="s">
        <v>189</v>
      </c>
      <c r="J13" s="23" t="s">
        <v>190</v>
      </c>
    </row>
    <row r="14" spans="1:10" ht="28.8" x14ac:dyDescent="0.3">
      <c r="A14" s="22" t="s">
        <v>191</v>
      </c>
      <c r="B14" s="23" t="s">
        <v>192</v>
      </c>
      <c r="C14" s="24" t="s">
        <v>12</v>
      </c>
      <c r="D14" s="23" t="s">
        <v>399</v>
      </c>
      <c r="E14" s="23" t="s">
        <v>53</v>
      </c>
      <c r="F14" s="25">
        <f>IFERROR(INDEX(Resumen!$C$36:$C$38,MATCH(C14,Resumen!$B$36:$B$38,0)),0)</f>
        <v>1</v>
      </c>
      <c r="G14" s="24" t="s">
        <v>95</v>
      </c>
      <c r="H14" s="23" t="s">
        <v>53</v>
      </c>
      <c r="I14" s="23" t="s">
        <v>193</v>
      </c>
      <c r="J14" s="23" t="s">
        <v>194</v>
      </c>
    </row>
    <row r="15" spans="1:10" ht="43.2" x14ac:dyDescent="0.3">
      <c r="A15" s="22" t="s">
        <v>195</v>
      </c>
      <c r="B15" s="23" t="s">
        <v>169</v>
      </c>
      <c r="C15" s="24" t="s">
        <v>12</v>
      </c>
      <c r="D15" s="23" t="s">
        <v>400</v>
      </c>
      <c r="E15" s="23" t="s">
        <v>53</v>
      </c>
      <c r="F15" s="25">
        <f>IFERROR(INDEX(Resumen!$C$36:$C$38,MATCH(C15,Resumen!$B$36:$B$38,0)),0)</f>
        <v>1</v>
      </c>
      <c r="G15" s="24" t="s">
        <v>95</v>
      </c>
      <c r="H15" s="23" t="s">
        <v>53</v>
      </c>
      <c r="I15" s="23" t="s">
        <v>196</v>
      </c>
      <c r="J15" s="23" t="s">
        <v>197</v>
      </c>
    </row>
    <row r="16" spans="1:10" ht="72" x14ac:dyDescent="0.3">
      <c r="A16" s="22" t="s">
        <v>198</v>
      </c>
      <c r="B16" s="23" t="s">
        <v>150</v>
      </c>
      <c r="C16" s="24" t="s">
        <v>12</v>
      </c>
      <c r="D16" s="23" t="s">
        <v>338</v>
      </c>
      <c r="E16" s="23" t="s">
        <v>339</v>
      </c>
      <c r="F16" s="25">
        <f>IFERROR(INDEX(Resumen!$C$36:$C$38,MATCH(C16,Resumen!$B$36:$B$38,0)),0)</f>
        <v>1</v>
      </c>
      <c r="G16" s="24" t="s">
        <v>95</v>
      </c>
      <c r="H16" s="23" t="s">
        <v>53</v>
      </c>
      <c r="I16" s="23" t="s">
        <v>199</v>
      </c>
      <c r="J16" s="23" t="s">
        <v>200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22</v>
      </c>
      <c r="B1" s="6" t="s">
        <v>9</v>
      </c>
      <c r="C1" s="6" t="s">
        <v>16</v>
      </c>
      <c r="D1" s="6" t="s">
        <v>201</v>
      </c>
      <c r="E1" s="6" t="s">
        <v>202</v>
      </c>
      <c r="F1" s="6" t="s">
        <v>203</v>
      </c>
      <c r="G1" s="6" t="s">
        <v>204</v>
      </c>
      <c r="H1" s="6" t="s">
        <v>205</v>
      </c>
    </row>
    <row r="2" spans="1:8" ht="57.6" x14ac:dyDescent="0.3">
      <c r="A2" s="22" t="s">
        <v>71</v>
      </c>
      <c r="B2" s="24" t="str">
        <f>IFERROR(INDEX(RF!$C$2:$C$100,MATCH($A2,RF!$A$2:$A$100,0)),INDEX(RNF!$C$2:$C$100,MATCH($A2,RNF!$A$2:$A$100,0)))</f>
        <v>Parcial</v>
      </c>
      <c r="C2" s="23" t="s">
        <v>315</v>
      </c>
      <c r="D2" s="23" t="s">
        <v>316</v>
      </c>
      <c r="E2" s="23" t="s">
        <v>371</v>
      </c>
      <c r="F2" s="24" t="s">
        <v>207</v>
      </c>
      <c r="G2" s="25">
        <f>1-IFERROR(INDEX(RF!$F$2:$F$100,MATCH($A2,RF!$A$2:$A$100,0)),INDEX(RNF!$F$2:$F$100,MATCH($A2,RNF!$A$2:$A$100,0)))</f>
        <v>0.5</v>
      </c>
      <c r="H2" s="26">
        <f>(Resumen!$G$8*Resumen!$C$8+SUM($G$2:G2))/Resumen!$C$8</f>
        <v>0.89189189189189189</v>
      </c>
    </row>
    <row r="3" spans="1:8" ht="28.8" x14ac:dyDescent="0.3">
      <c r="A3" s="22" t="s">
        <v>153</v>
      </c>
      <c r="B3" s="24" t="str">
        <f>IFERROR(INDEX(RF!$C$2:$C$100,MATCH($A3,RF!$A$2:$A$100,0)),INDEX(RNF!$C$2:$C$100,MATCH($A3,RNF!$A$2:$A$100,0)))</f>
        <v>Parcial</v>
      </c>
      <c r="C3" s="23" t="s">
        <v>156</v>
      </c>
      <c r="D3" s="23" t="s">
        <v>372</v>
      </c>
      <c r="E3" s="23" t="s">
        <v>373</v>
      </c>
      <c r="F3" s="24" t="s">
        <v>207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0.90540540540540537</v>
      </c>
    </row>
    <row r="4" spans="1:8" ht="43.2" x14ac:dyDescent="0.3">
      <c r="A4" s="22" t="s">
        <v>164</v>
      </c>
      <c r="B4" s="24" t="str">
        <f>IFERROR(INDEX(RF!$C$2:$C$100,MATCH($A4,RF!$A$2:$A$100,0)),INDEX(RNF!$C$2:$C$100,MATCH($A4,RNF!$A$2:$A$100,0)))</f>
        <v>Parcial</v>
      </c>
      <c r="C4" s="23" t="s">
        <v>374</v>
      </c>
      <c r="D4" s="23" t="s">
        <v>375</v>
      </c>
      <c r="E4" s="23" t="s">
        <v>376</v>
      </c>
      <c r="F4" s="24" t="s">
        <v>207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0.91891891891891897</v>
      </c>
    </row>
    <row r="5" spans="1:8" ht="43.2" x14ac:dyDescent="0.3">
      <c r="A5" s="22" t="s">
        <v>145</v>
      </c>
      <c r="B5" s="24" t="str">
        <f>IFERROR(INDEX(RF!$C$2:$C$100,MATCH($A5,RF!$A$2:$A$100,0)),INDEX(RNF!$C$2:$C$100,MATCH($A5,RNF!$A$2:$A$100,0)))</f>
        <v>Pendiente</v>
      </c>
      <c r="C5" s="23" t="s">
        <v>377</v>
      </c>
      <c r="D5" s="23" t="s">
        <v>378</v>
      </c>
      <c r="E5" s="23" t="s">
        <v>379</v>
      </c>
      <c r="F5" s="24" t="s">
        <v>208</v>
      </c>
      <c r="G5" s="25">
        <f>1-IFERROR(INDEX(RF!$F$2:$F$100,MATCH($A5,RF!$A$2:$A$100,0)),INDEX(RNF!$F$2:$F$100,MATCH($A5,RNF!$A$2:$A$100,0)))</f>
        <v>1</v>
      </c>
      <c r="H5" s="26">
        <f>(Resumen!$G$8*Resumen!$C$8+SUM($G$2:G5))/Resumen!$C$8</f>
        <v>0.94594594594594594</v>
      </c>
    </row>
    <row r="6" spans="1:8" ht="28.8" x14ac:dyDescent="0.3">
      <c r="A6" s="22" t="s">
        <v>87</v>
      </c>
      <c r="B6" s="24" t="str">
        <f>IFERROR(INDEX(RF!$C$2:$C$100,MATCH($A6,RF!$A$2:$A$100,0)),INDEX(RNF!$C$2:$C$100,MATCH($A6,RNF!$A$2:$A$100,0)))</f>
        <v>Pendiente</v>
      </c>
      <c r="C6" s="23" t="s">
        <v>89</v>
      </c>
      <c r="D6" s="23" t="s">
        <v>209</v>
      </c>
      <c r="E6" s="23" t="s">
        <v>206</v>
      </c>
      <c r="F6" s="24" t="s">
        <v>210</v>
      </c>
      <c r="G6" s="25">
        <f>1-IFERROR(INDEX(RF!$F$2:$F$100,MATCH($A6,RF!$A$2:$A$100,0)),INDEX(RNF!$F$2:$F$100,MATCH($A6,RNF!$A$2:$A$100,0)))</f>
        <v>1</v>
      </c>
      <c r="H6" s="26">
        <f>(Resumen!$G$8*Resumen!$C$8+SUM($G$2:G6))/Resumen!$C$8</f>
        <v>0.97297297297297303</v>
      </c>
    </row>
    <row r="7" spans="1:8" x14ac:dyDescent="0.3">
      <c r="A7" s="22" t="s">
        <v>75</v>
      </c>
      <c r="B7" s="24" t="str">
        <f>IFERROR(INDEX(RF!$C$2:$C$100,MATCH($A7,RF!$A$2:$A$100,0)),INDEX(RNF!$C$2:$C$100,MATCH($A7,RNF!$A$2:$A$100,0)))</f>
        <v>Pendiente</v>
      </c>
      <c r="C7" s="23" t="s">
        <v>78</v>
      </c>
      <c r="D7" s="23" t="s">
        <v>211</v>
      </c>
      <c r="E7" s="23" t="s">
        <v>206</v>
      </c>
      <c r="F7" s="24" t="s">
        <v>210</v>
      </c>
      <c r="G7" s="25">
        <f>1-IFERROR(INDEX(RF!$F$2:$F$100,MATCH($A7,RF!$A$2:$A$100,0)),INDEX(RNF!$F$2:$F$100,MATCH($A7,RNF!$A$2:$A$100,0)))</f>
        <v>1</v>
      </c>
      <c r="H7" s="26">
        <f>(Resumen!$G$8*Resumen!$C$8+SUM($G$2:G7))/Resumen!$C$8</f>
        <v>1</v>
      </c>
    </row>
    <row r="9" spans="1:8" x14ac:dyDescent="0.3">
      <c r="A9" s="17" t="s">
        <v>292</v>
      </c>
    </row>
  </sheetData>
  <conditionalFormatting sqref="B2:B7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212</v>
      </c>
      <c r="B1" s="6" t="s">
        <v>213</v>
      </c>
      <c r="C1" s="6" t="s">
        <v>1</v>
      </c>
      <c r="D1" s="6" t="s">
        <v>214</v>
      </c>
      <c r="E1" s="6" t="s">
        <v>215</v>
      </c>
      <c r="F1" s="6" t="s">
        <v>216</v>
      </c>
      <c r="G1" s="6" t="s">
        <v>217</v>
      </c>
    </row>
    <row r="2" spans="1:7" ht="28.8" x14ac:dyDescent="0.3">
      <c r="A2" s="22" t="s">
        <v>218</v>
      </c>
      <c r="B2" s="23" t="s">
        <v>31</v>
      </c>
      <c r="C2" s="23" t="s">
        <v>22</v>
      </c>
      <c r="D2" s="23" t="s">
        <v>302</v>
      </c>
      <c r="E2" s="23" t="s">
        <v>303</v>
      </c>
      <c r="F2" s="28" t="s">
        <v>293</v>
      </c>
      <c r="G2" s="23" t="s">
        <v>220</v>
      </c>
    </row>
    <row r="3" spans="1:7" ht="28.8" x14ac:dyDescent="0.3">
      <c r="A3" s="22" t="s">
        <v>221</v>
      </c>
      <c r="B3" s="23" t="s">
        <v>31</v>
      </c>
      <c r="C3" s="23" t="s">
        <v>236</v>
      </c>
      <c r="D3" s="23" t="s">
        <v>304</v>
      </c>
      <c r="E3" s="23" t="s">
        <v>305</v>
      </c>
      <c r="F3" s="28" t="s">
        <v>293</v>
      </c>
      <c r="G3" s="23" t="s">
        <v>220</v>
      </c>
    </row>
    <row r="4" spans="1:7" ht="43.2" x14ac:dyDescent="0.3">
      <c r="A4" s="22" t="s">
        <v>222</v>
      </c>
      <c r="B4" s="23" t="s">
        <v>37</v>
      </c>
      <c r="C4" s="23" t="s">
        <v>22</v>
      </c>
      <c r="D4" s="23" t="s">
        <v>401</v>
      </c>
      <c r="E4" s="23" t="s">
        <v>335</v>
      </c>
      <c r="F4" s="28" t="s">
        <v>353</v>
      </c>
      <c r="G4" s="23" t="s">
        <v>220</v>
      </c>
    </row>
    <row r="5" spans="1:7" ht="28.8" x14ac:dyDescent="0.3">
      <c r="A5" s="22" t="s">
        <v>223</v>
      </c>
      <c r="B5" s="23" t="s">
        <v>37</v>
      </c>
      <c r="C5" s="23" t="s">
        <v>22</v>
      </c>
      <c r="D5" s="23" t="s">
        <v>306</v>
      </c>
      <c r="E5" s="23" t="s">
        <v>307</v>
      </c>
      <c r="F5" s="28" t="s">
        <v>293</v>
      </c>
      <c r="G5" s="23" t="s">
        <v>220</v>
      </c>
    </row>
    <row r="6" spans="1:7" x14ac:dyDescent="0.3">
      <c r="A6" s="22" t="s">
        <v>225</v>
      </c>
      <c r="B6" s="23" t="s">
        <v>41</v>
      </c>
      <c r="C6" s="23" t="s">
        <v>22</v>
      </c>
      <c r="D6" s="23" t="s">
        <v>424</v>
      </c>
      <c r="E6" s="23" t="s">
        <v>226</v>
      </c>
      <c r="F6" s="28" t="s">
        <v>353</v>
      </c>
      <c r="G6" s="23" t="s">
        <v>220</v>
      </c>
    </row>
    <row r="7" spans="1:7" ht="28.8" x14ac:dyDescent="0.3">
      <c r="A7" s="22" t="s">
        <v>227</v>
      </c>
      <c r="B7" s="23" t="s">
        <v>41</v>
      </c>
      <c r="C7" s="23" t="s">
        <v>22</v>
      </c>
      <c r="D7" s="23" t="s">
        <v>425</v>
      </c>
      <c r="E7" s="23" t="s">
        <v>228</v>
      </c>
      <c r="F7" s="28" t="s">
        <v>353</v>
      </c>
      <c r="G7" s="23" t="s">
        <v>220</v>
      </c>
    </row>
    <row r="8" spans="1:7" ht="28.8" x14ac:dyDescent="0.3">
      <c r="A8" s="22" t="s">
        <v>229</v>
      </c>
      <c r="B8" s="23" t="s">
        <v>47</v>
      </c>
      <c r="C8" s="23" t="s">
        <v>22</v>
      </c>
      <c r="D8" s="23" t="s">
        <v>294</v>
      </c>
      <c r="E8" s="23" t="s">
        <v>230</v>
      </c>
      <c r="F8" s="28" t="s">
        <v>293</v>
      </c>
      <c r="G8" s="23" t="s">
        <v>220</v>
      </c>
    </row>
    <row r="9" spans="1:7" ht="43.2" x14ac:dyDescent="0.3">
      <c r="A9" s="22" t="s">
        <v>231</v>
      </c>
      <c r="B9" s="23" t="s">
        <v>47</v>
      </c>
      <c r="C9" s="23" t="s">
        <v>236</v>
      </c>
      <c r="D9" s="23" t="s">
        <v>330</v>
      </c>
      <c r="E9" s="23" t="s">
        <v>331</v>
      </c>
      <c r="F9" s="28" t="s">
        <v>327</v>
      </c>
      <c r="G9" s="23" t="s">
        <v>220</v>
      </c>
    </row>
    <row r="10" spans="1:7" x14ac:dyDescent="0.3">
      <c r="A10" s="22" t="s">
        <v>233</v>
      </c>
      <c r="B10" s="23" t="s">
        <v>51</v>
      </c>
      <c r="C10" s="23" t="s">
        <v>22</v>
      </c>
      <c r="D10" s="23" t="s">
        <v>426</v>
      </c>
      <c r="E10" s="23" t="s">
        <v>234</v>
      </c>
      <c r="F10" s="28" t="s">
        <v>353</v>
      </c>
      <c r="G10" s="23" t="s">
        <v>220</v>
      </c>
    </row>
    <row r="11" spans="1:7" x14ac:dyDescent="0.3">
      <c r="A11" s="22" t="s">
        <v>235</v>
      </c>
      <c r="B11" s="23" t="s">
        <v>51</v>
      </c>
      <c r="C11" s="23" t="s">
        <v>236</v>
      </c>
      <c r="D11" s="23" t="s">
        <v>427</v>
      </c>
      <c r="E11" s="23" t="s">
        <v>237</v>
      </c>
      <c r="F11" s="28" t="s">
        <v>353</v>
      </c>
      <c r="G11" s="23" t="s">
        <v>220</v>
      </c>
    </row>
    <row r="12" spans="1:7" ht="57.6" x14ac:dyDescent="0.3">
      <c r="A12" s="22" t="s">
        <v>59</v>
      </c>
      <c r="B12" s="23" t="s">
        <v>57</v>
      </c>
      <c r="C12" s="23" t="s">
        <v>22</v>
      </c>
      <c r="D12" s="23" t="s">
        <v>428</v>
      </c>
      <c r="E12" s="23" t="s">
        <v>319</v>
      </c>
      <c r="F12" s="28" t="s">
        <v>353</v>
      </c>
      <c r="G12" s="23" t="s">
        <v>220</v>
      </c>
    </row>
    <row r="13" spans="1:7" ht="43.2" x14ac:dyDescent="0.3">
      <c r="A13" s="22" t="s">
        <v>64</v>
      </c>
      <c r="B13" s="23" t="s">
        <v>61</v>
      </c>
      <c r="C13" s="23" t="s">
        <v>22</v>
      </c>
      <c r="D13" s="23" t="s">
        <v>308</v>
      </c>
      <c r="E13" s="23" t="s">
        <v>309</v>
      </c>
      <c r="F13" s="28" t="s">
        <v>293</v>
      </c>
      <c r="G13" s="23" t="s">
        <v>220</v>
      </c>
    </row>
    <row r="14" spans="1:7" ht="43.2" x14ac:dyDescent="0.3">
      <c r="A14" s="22" t="s">
        <v>238</v>
      </c>
      <c r="B14" s="23" t="s">
        <v>66</v>
      </c>
      <c r="C14" s="23" t="s">
        <v>22</v>
      </c>
      <c r="D14" s="23" t="s">
        <v>402</v>
      </c>
      <c r="E14" s="23" t="s">
        <v>352</v>
      </c>
      <c r="F14" s="28" t="s">
        <v>353</v>
      </c>
      <c r="G14" s="23" t="s">
        <v>220</v>
      </c>
    </row>
    <row r="15" spans="1:7" ht="28.8" x14ac:dyDescent="0.3">
      <c r="A15" s="22" t="s">
        <v>239</v>
      </c>
      <c r="B15" s="23" t="s">
        <v>66</v>
      </c>
      <c r="C15" s="23" t="s">
        <v>354</v>
      </c>
      <c r="D15" s="23" t="s">
        <v>355</v>
      </c>
      <c r="E15" s="23" t="s">
        <v>356</v>
      </c>
      <c r="F15" s="28" t="s">
        <v>353</v>
      </c>
      <c r="G15" s="23" t="s">
        <v>220</v>
      </c>
    </row>
    <row r="16" spans="1:7" ht="43.2" x14ac:dyDescent="0.3">
      <c r="A16" s="22" t="s">
        <v>73</v>
      </c>
      <c r="B16" s="23" t="s">
        <v>71</v>
      </c>
      <c r="C16" s="23" t="s">
        <v>313</v>
      </c>
      <c r="D16" s="23" t="s">
        <v>403</v>
      </c>
      <c r="E16" s="23" t="s">
        <v>314</v>
      </c>
      <c r="F16" s="28" t="s">
        <v>353</v>
      </c>
      <c r="G16" s="23" t="s">
        <v>220</v>
      </c>
    </row>
    <row r="17" spans="1:7" x14ac:dyDescent="0.3">
      <c r="A17" s="22" t="s">
        <v>80</v>
      </c>
      <c r="B17" s="23" t="s">
        <v>75</v>
      </c>
      <c r="C17" s="23" t="s">
        <v>232</v>
      </c>
      <c r="D17" s="23" t="s">
        <v>240</v>
      </c>
      <c r="E17" s="23" t="s">
        <v>241</v>
      </c>
      <c r="F17" s="23" t="s">
        <v>219</v>
      </c>
      <c r="G17" s="23" t="s">
        <v>220</v>
      </c>
    </row>
    <row r="18" spans="1:7" ht="43.2" x14ac:dyDescent="0.3">
      <c r="A18" s="22" t="s">
        <v>85</v>
      </c>
      <c r="B18" s="23" t="s">
        <v>82</v>
      </c>
      <c r="C18" s="23" t="s">
        <v>287</v>
      </c>
      <c r="D18" s="23" t="s">
        <v>404</v>
      </c>
      <c r="E18" s="23" t="s">
        <v>332</v>
      </c>
      <c r="F18" s="28" t="s">
        <v>353</v>
      </c>
      <c r="G18" s="23" t="s">
        <v>220</v>
      </c>
    </row>
    <row r="19" spans="1:7" ht="28.8" x14ac:dyDescent="0.3">
      <c r="A19" s="22" t="s">
        <v>91</v>
      </c>
      <c r="B19" s="23" t="s">
        <v>87</v>
      </c>
      <c r="C19" s="23" t="s">
        <v>242</v>
      </c>
      <c r="D19" s="23" t="s">
        <v>243</v>
      </c>
      <c r="E19" s="23" t="s">
        <v>244</v>
      </c>
      <c r="F19" s="28" t="s">
        <v>353</v>
      </c>
      <c r="G19" s="23" t="s">
        <v>220</v>
      </c>
    </row>
    <row r="20" spans="1:7" ht="43.2" x14ac:dyDescent="0.3">
      <c r="A20" s="22" t="s">
        <v>97</v>
      </c>
      <c r="B20" s="23" t="s">
        <v>93</v>
      </c>
      <c r="C20" s="23" t="s">
        <v>287</v>
      </c>
      <c r="D20" s="23" t="s">
        <v>325</v>
      </c>
      <c r="E20" s="23" t="s">
        <v>326</v>
      </c>
      <c r="F20" s="27" t="s">
        <v>327</v>
      </c>
      <c r="G20" s="23" t="s">
        <v>220</v>
      </c>
    </row>
    <row r="21" spans="1:7" ht="28.8" x14ac:dyDescent="0.3">
      <c r="A21" s="22" t="s">
        <v>245</v>
      </c>
      <c r="B21" s="23" t="s">
        <v>99</v>
      </c>
      <c r="C21" s="23" t="s">
        <v>22</v>
      </c>
      <c r="D21" s="23" t="s">
        <v>405</v>
      </c>
      <c r="E21" s="23" t="s">
        <v>328</v>
      </c>
      <c r="F21" s="28" t="s">
        <v>353</v>
      </c>
      <c r="G21" s="23" t="s">
        <v>220</v>
      </c>
    </row>
    <row r="22" spans="1:7" ht="43.2" x14ac:dyDescent="0.3">
      <c r="A22" s="22" t="s">
        <v>246</v>
      </c>
      <c r="B22" s="23" t="s">
        <v>99</v>
      </c>
      <c r="C22" s="23" t="s">
        <v>236</v>
      </c>
      <c r="D22" s="23" t="s">
        <v>406</v>
      </c>
      <c r="E22" s="23" t="s">
        <v>329</v>
      </c>
      <c r="F22" s="28" t="s">
        <v>353</v>
      </c>
      <c r="G22" s="23" t="s">
        <v>220</v>
      </c>
    </row>
    <row r="23" spans="1:7" ht="28.8" x14ac:dyDescent="0.3">
      <c r="A23" s="22" t="s">
        <v>247</v>
      </c>
      <c r="B23" s="23" t="s">
        <v>103</v>
      </c>
      <c r="C23" s="23" t="s">
        <v>22</v>
      </c>
      <c r="D23" s="23" t="s">
        <v>429</v>
      </c>
      <c r="E23" s="23" t="s">
        <v>248</v>
      </c>
      <c r="F23" s="28" t="s">
        <v>353</v>
      </c>
      <c r="G23" s="23" t="s">
        <v>220</v>
      </c>
    </row>
    <row r="24" spans="1:7" ht="28.8" x14ac:dyDescent="0.3">
      <c r="A24" s="22" t="s">
        <v>249</v>
      </c>
      <c r="B24" s="23" t="s">
        <v>103</v>
      </c>
      <c r="C24" s="23" t="s">
        <v>250</v>
      </c>
      <c r="D24" s="23" t="s">
        <v>251</v>
      </c>
      <c r="E24" s="23" t="s">
        <v>252</v>
      </c>
      <c r="F24" s="28" t="s">
        <v>353</v>
      </c>
      <c r="G24" s="23" t="s">
        <v>220</v>
      </c>
    </row>
    <row r="25" spans="1:7" ht="28.8" x14ac:dyDescent="0.3">
      <c r="A25" s="22" t="s">
        <v>253</v>
      </c>
      <c r="B25" s="23" t="s">
        <v>103</v>
      </c>
      <c r="C25" s="23" t="s">
        <v>22</v>
      </c>
      <c r="D25" s="23" t="s">
        <v>254</v>
      </c>
      <c r="E25" s="23" t="s">
        <v>255</v>
      </c>
      <c r="F25" s="28" t="s">
        <v>353</v>
      </c>
      <c r="G25" s="23" t="s">
        <v>220</v>
      </c>
    </row>
    <row r="26" spans="1:7" ht="43.2" x14ac:dyDescent="0.3">
      <c r="A26" s="22" t="s">
        <v>112</v>
      </c>
      <c r="B26" s="23" t="s">
        <v>109</v>
      </c>
      <c r="C26" s="23" t="s">
        <v>256</v>
      </c>
      <c r="D26" s="23" t="s">
        <v>407</v>
      </c>
      <c r="E26" s="23" t="s">
        <v>257</v>
      </c>
      <c r="F26" s="28" t="s">
        <v>353</v>
      </c>
      <c r="G26" s="23" t="s">
        <v>220</v>
      </c>
    </row>
    <row r="27" spans="1:7" ht="28.8" x14ac:dyDescent="0.3">
      <c r="A27" s="22" t="s">
        <v>258</v>
      </c>
      <c r="B27" s="23" t="s">
        <v>114</v>
      </c>
      <c r="C27" s="23" t="s">
        <v>22</v>
      </c>
      <c r="D27" s="23" t="s">
        <v>408</v>
      </c>
      <c r="E27" s="23" t="s">
        <v>259</v>
      </c>
      <c r="F27" s="28" t="s">
        <v>353</v>
      </c>
      <c r="G27" s="23" t="s">
        <v>220</v>
      </c>
    </row>
    <row r="28" spans="1:7" x14ac:dyDescent="0.3">
      <c r="A28" s="22" t="s">
        <v>260</v>
      </c>
      <c r="B28" s="23" t="s">
        <v>114</v>
      </c>
      <c r="C28" s="23" t="s">
        <v>224</v>
      </c>
      <c r="D28" s="23" t="s">
        <v>409</v>
      </c>
      <c r="E28" s="23" t="s">
        <v>261</v>
      </c>
      <c r="F28" s="28" t="s">
        <v>353</v>
      </c>
      <c r="G28" s="23" t="s">
        <v>220</v>
      </c>
    </row>
    <row r="29" spans="1:7" ht="28.8" x14ac:dyDescent="0.3">
      <c r="A29" s="22" t="s">
        <v>120</v>
      </c>
      <c r="B29" s="23" t="s">
        <v>118</v>
      </c>
      <c r="C29" s="23" t="s">
        <v>22</v>
      </c>
      <c r="D29" s="23" t="s">
        <v>430</v>
      </c>
      <c r="E29" s="23" t="s">
        <v>262</v>
      </c>
      <c r="F29" s="28" t="s">
        <v>353</v>
      </c>
      <c r="G29" s="23" t="s">
        <v>220</v>
      </c>
    </row>
    <row r="30" spans="1:7" ht="28.8" x14ac:dyDescent="0.3">
      <c r="A30" s="22" t="s">
        <v>123</v>
      </c>
      <c r="B30" s="23" t="s">
        <v>122</v>
      </c>
      <c r="C30" s="23" t="s">
        <v>22</v>
      </c>
      <c r="D30" s="23" t="s">
        <v>410</v>
      </c>
      <c r="E30" s="23" t="s">
        <v>263</v>
      </c>
      <c r="F30" s="28" t="s">
        <v>353</v>
      </c>
      <c r="G30" s="23" t="s">
        <v>220</v>
      </c>
    </row>
    <row r="31" spans="1:7" ht="28.8" x14ac:dyDescent="0.3">
      <c r="A31" s="22" t="s">
        <v>129</v>
      </c>
      <c r="B31" s="23" t="s">
        <v>125</v>
      </c>
      <c r="C31" s="23" t="s">
        <v>22</v>
      </c>
      <c r="D31" s="23" t="s">
        <v>411</v>
      </c>
      <c r="E31" s="23" t="s">
        <v>264</v>
      </c>
      <c r="F31" s="28" t="s">
        <v>353</v>
      </c>
      <c r="G31" s="23" t="s">
        <v>220</v>
      </c>
    </row>
    <row r="32" spans="1:7" ht="43.2" x14ac:dyDescent="0.3">
      <c r="A32" s="22" t="s">
        <v>134</v>
      </c>
      <c r="B32" s="23" t="s">
        <v>131</v>
      </c>
      <c r="C32" s="23" t="s">
        <v>236</v>
      </c>
      <c r="D32" s="23" t="s">
        <v>431</v>
      </c>
      <c r="E32" s="23" t="s">
        <v>265</v>
      </c>
      <c r="F32" s="28" t="s">
        <v>353</v>
      </c>
      <c r="G32" s="23" t="s">
        <v>220</v>
      </c>
    </row>
    <row r="33" spans="1:7" ht="43.2" x14ac:dyDescent="0.3">
      <c r="A33" s="22" t="s">
        <v>266</v>
      </c>
      <c r="B33" s="23" t="s">
        <v>136</v>
      </c>
      <c r="C33" s="23" t="s">
        <v>22</v>
      </c>
      <c r="D33" s="23" t="s">
        <v>310</v>
      </c>
      <c r="E33" s="23" t="s">
        <v>311</v>
      </c>
      <c r="F33" s="27" t="s">
        <v>293</v>
      </c>
      <c r="G33" s="23" t="s">
        <v>220</v>
      </c>
    </row>
    <row r="34" spans="1:7" ht="43.2" x14ac:dyDescent="0.3">
      <c r="A34" s="22" t="s">
        <v>267</v>
      </c>
      <c r="B34" s="23" t="s">
        <v>136</v>
      </c>
      <c r="C34" s="23" t="s">
        <v>268</v>
      </c>
      <c r="D34" s="23" t="s">
        <v>295</v>
      </c>
      <c r="E34" s="23" t="s">
        <v>296</v>
      </c>
      <c r="F34" s="27" t="s">
        <v>293</v>
      </c>
      <c r="G34" s="23" t="s">
        <v>220</v>
      </c>
    </row>
    <row r="35" spans="1:7" ht="28.8" x14ac:dyDescent="0.3">
      <c r="A35" s="22" t="s">
        <v>143</v>
      </c>
      <c r="B35" s="23" t="s">
        <v>141</v>
      </c>
      <c r="C35" s="23" t="s">
        <v>275</v>
      </c>
      <c r="D35" s="23" t="s">
        <v>357</v>
      </c>
      <c r="E35" s="23" t="s">
        <v>358</v>
      </c>
      <c r="F35" s="28" t="s">
        <v>353</v>
      </c>
      <c r="G35" s="23" t="s">
        <v>220</v>
      </c>
    </row>
    <row r="36" spans="1:7" ht="28.8" x14ac:dyDescent="0.3">
      <c r="A36" s="22" t="s">
        <v>147</v>
      </c>
      <c r="B36" s="23" t="s">
        <v>145</v>
      </c>
      <c r="C36" s="23" t="s">
        <v>359</v>
      </c>
      <c r="D36" s="23" t="s">
        <v>360</v>
      </c>
      <c r="E36" s="23" t="s">
        <v>361</v>
      </c>
      <c r="F36" s="28" t="s">
        <v>353</v>
      </c>
      <c r="G36" s="23" t="s">
        <v>220</v>
      </c>
    </row>
    <row r="37" spans="1:7" ht="28.8" x14ac:dyDescent="0.3">
      <c r="A37" s="22" t="s">
        <v>151</v>
      </c>
      <c r="B37" s="23" t="s">
        <v>149</v>
      </c>
      <c r="C37" s="23" t="s">
        <v>22</v>
      </c>
      <c r="D37" s="23" t="s">
        <v>412</v>
      </c>
      <c r="E37" s="23" t="s">
        <v>269</v>
      </c>
      <c r="F37" s="28" t="s">
        <v>353</v>
      </c>
      <c r="G37" s="23" t="s">
        <v>220</v>
      </c>
    </row>
    <row r="38" spans="1:7" x14ac:dyDescent="0.3">
      <c r="A38" s="22" t="s">
        <v>158</v>
      </c>
      <c r="B38" s="23" t="s">
        <v>153</v>
      </c>
      <c r="C38" s="23" t="s">
        <v>22</v>
      </c>
      <c r="D38" s="23" t="s">
        <v>270</v>
      </c>
      <c r="E38" s="23" t="s">
        <v>271</v>
      </c>
      <c r="F38" s="23" t="s">
        <v>219</v>
      </c>
      <c r="G38" s="23" t="s">
        <v>220</v>
      </c>
    </row>
    <row r="39" spans="1:7" ht="28.8" x14ac:dyDescent="0.3">
      <c r="A39" s="22" t="s">
        <v>272</v>
      </c>
      <c r="B39" s="23" t="s">
        <v>160</v>
      </c>
      <c r="C39" s="23" t="s">
        <v>22</v>
      </c>
      <c r="D39" s="23" t="s">
        <v>413</v>
      </c>
      <c r="E39" s="23" t="s">
        <v>288</v>
      </c>
      <c r="F39" s="27" t="s">
        <v>353</v>
      </c>
      <c r="G39" s="23" t="s">
        <v>220</v>
      </c>
    </row>
    <row r="40" spans="1:7" ht="43.2" x14ac:dyDescent="0.3">
      <c r="A40" s="22" t="s">
        <v>273</v>
      </c>
      <c r="B40" s="23" t="s">
        <v>160</v>
      </c>
      <c r="C40" s="23" t="s">
        <v>289</v>
      </c>
      <c r="D40" s="23" t="s">
        <v>290</v>
      </c>
      <c r="E40" s="23" t="s">
        <v>291</v>
      </c>
      <c r="F40" s="27" t="s">
        <v>293</v>
      </c>
      <c r="G40" s="23" t="s">
        <v>220</v>
      </c>
    </row>
    <row r="41" spans="1:7" ht="28.8" x14ac:dyDescent="0.3">
      <c r="A41" s="22" t="s">
        <v>166</v>
      </c>
      <c r="B41" s="23" t="s">
        <v>164</v>
      </c>
      <c r="C41" s="23" t="s">
        <v>362</v>
      </c>
      <c r="D41" s="23" t="s">
        <v>363</v>
      </c>
      <c r="E41" s="23" t="s">
        <v>364</v>
      </c>
      <c r="F41" s="28" t="s">
        <v>353</v>
      </c>
      <c r="G41" s="23" t="s">
        <v>220</v>
      </c>
    </row>
    <row r="42" spans="1:7" ht="28.8" x14ac:dyDescent="0.3">
      <c r="A42" s="22" t="s">
        <v>274</v>
      </c>
      <c r="B42" s="23" t="s">
        <v>168</v>
      </c>
      <c r="C42" s="23" t="s">
        <v>275</v>
      </c>
      <c r="D42" s="23" t="s">
        <v>333</v>
      </c>
      <c r="E42" s="23" t="s">
        <v>334</v>
      </c>
      <c r="F42" s="28" t="s">
        <v>327</v>
      </c>
      <c r="G42" s="23" t="s">
        <v>220</v>
      </c>
    </row>
    <row r="43" spans="1:7" ht="43.2" x14ac:dyDescent="0.3">
      <c r="A43" s="22" t="s">
        <v>276</v>
      </c>
      <c r="B43" s="23" t="s">
        <v>168</v>
      </c>
      <c r="C43" s="23" t="s">
        <v>256</v>
      </c>
      <c r="D43" s="23" t="s">
        <v>365</v>
      </c>
      <c r="E43" s="23" t="s">
        <v>366</v>
      </c>
      <c r="F43" s="28" t="s">
        <v>353</v>
      </c>
      <c r="G43" s="23" t="s">
        <v>220</v>
      </c>
    </row>
    <row r="44" spans="1:7" ht="28.8" x14ac:dyDescent="0.3">
      <c r="A44" s="22" t="s">
        <v>176</v>
      </c>
      <c r="B44" s="23" t="s">
        <v>172</v>
      </c>
      <c r="C44" s="23" t="s">
        <v>126</v>
      </c>
      <c r="D44" s="23" t="s">
        <v>277</v>
      </c>
      <c r="E44" s="23" t="s">
        <v>278</v>
      </c>
      <c r="F44" s="23" t="s">
        <v>219</v>
      </c>
      <c r="G44" s="23" t="s">
        <v>220</v>
      </c>
    </row>
    <row r="45" spans="1:7" ht="28.8" x14ac:dyDescent="0.3">
      <c r="A45" s="22" t="s">
        <v>179</v>
      </c>
      <c r="B45" s="23" t="s">
        <v>178</v>
      </c>
      <c r="C45" s="23" t="s">
        <v>22</v>
      </c>
      <c r="D45" s="23" t="s">
        <v>367</v>
      </c>
      <c r="E45" s="23" t="s">
        <v>368</v>
      </c>
      <c r="F45" s="28" t="s">
        <v>353</v>
      </c>
      <c r="G45" s="23" t="s">
        <v>220</v>
      </c>
    </row>
    <row r="46" spans="1:7" ht="28.8" x14ac:dyDescent="0.3">
      <c r="A46" s="22" t="s">
        <v>182</v>
      </c>
      <c r="B46" s="23" t="s">
        <v>181</v>
      </c>
      <c r="C46" s="23" t="s">
        <v>22</v>
      </c>
      <c r="D46" s="23" t="s">
        <v>414</v>
      </c>
      <c r="E46" s="23" t="s">
        <v>320</v>
      </c>
      <c r="F46" s="27" t="s">
        <v>353</v>
      </c>
      <c r="G46" s="23" t="s">
        <v>220</v>
      </c>
    </row>
    <row r="47" spans="1:7" ht="28.8" x14ac:dyDescent="0.3">
      <c r="A47" s="22" t="s">
        <v>185</v>
      </c>
      <c r="B47" s="23" t="s">
        <v>184</v>
      </c>
      <c r="C47" s="23" t="s">
        <v>279</v>
      </c>
      <c r="D47" s="23" t="s">
        <v>415</v>
      </c>
      <c r="E47" s="23" t="s">
        <v>280</v>
      </c>
      <c r="F47" s="28" t="s">
        <v>353</v>
      </c>
      <c r="G47" s="23" t="s">
        <v>220</v>
      </c>
    </row>
    <row r="48" spans="1:7" ht="28.8" x14ac:dyDescent="0.3">
      <c r="A48" s="22" t="s">
        <v>189</v>
      </c>
      <c r="B48" s="23" t="s">
        <v>187</v>
      </c>
      <c r="C48" s="23" t="s">
        <v>22</v>
      </c>
      <c r="D48" s="23" t="s">
        <v>281</v>
      </c>
      <c r="E48" s="23" t="s">
        <v>282</v>
      </c>
      <c r="F48" s="23" t="s">
        <v>219</v>
      </c>
      <c r="G48" s="23" t="s">
        <v>220</v>
      </c>
    </row>
    <row r="49" spans="1:7" x14ac:dyDescent="0.3">
      <c r="A49" s="22" t="s">
        <v>193</v>
      </c>
      <c r="B49" s="23" t="s">
        <v>191</v>
      </c>
      <c r="C49" s="23" t="s">
        <v>22</v>
      </c>
      <c r="D49" s="23" t="s">
        <v>416</v>
      </c>
      <c r="E49" s="23" t="s">
        <v>283</v>
      </c>
      <c r="F49" s="28" t="s">
        <v>353</v>
      </c>
      <c r="G49" s="23" t="s">
        <v>220</v>
      </c>
    </row>
    <row r="50" spans="1:7" ht="28.8" x14ac:dyDescent="0.3">
      <c r="A50" s="22" t="s">
        <v>196</v>
      </c>
      <c r="B50" s="23" t="s">
        <v>195</v>
      </c>
      <c r="C50" s="23" t="s">
        <v>22</v>
      </c>
      <c r="D50" s="23" t="s">
        <v>417</v>
      </c>
      <c r="E50" s="23" t="s">
        <v>284</v>
      </c>
      <c r="F50" s="28" t="s">
        <v>353</v>
      </c>
      <c r="G50" s="23" t="s">
        <v>220</v>
      </c>
    </row>
    <row r="51" spans="1:7" ht="28.8" x14ac:dyDescent="0.3">
      <c r="A51" s="22" t="s">
        <v>199</v>
      </c>
      <c r="B51" s="23" t="s">
        <v>198</v>
      </c>
      <c r="C51" s="23" t="s">
        <v>287</v>
      </c>
      <c r="D51" s="23" t="s">
        <v>369</v>
      </c>
      <c r="E51" s="23" t="s">
        <v>370</v>
      </c>
      <c r="F51" s="28" t="s">
        <v>353</v>
      </c>
      <c r="G51" s="23" t="s">
        <v>220</v>
      </c>
    </row>
    <row r="53" spans="1:7" x14ac:dyDescent="0.3">
      <c r="A53" s="17" t="s">
        <v>285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2026-10-25T09:05:42Z</dcterms:modified>
</cp:coreProperties>
</file>