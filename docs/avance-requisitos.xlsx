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071556A5-1659-4C9B-A408-7574E03B5E6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Evidencias!$A$1:$G$54</definedName>
    <definedName name="_xlnm._FilterDatabase" localSheetId="1" hidden="1">RF!$A$1:$J$27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4" l="1"/>
  <c r="B17" i="4"/>
  <c r="B16" i="4"/>
  <c r="B15" i="4"/>
  <c r="G14" i="4"/>
  <c r="B14" i="4"/>
  <c r="B13" i="4"/>
  <c r="B12" i="4"/>
  <c r="B11" i="4"/>
  <c r="B10" i="4"/>
  <c r="B9" i="4"/>
  <c r="G8" i="4"/>
  <c r="B8" i="4"/>
  <c r="B7" i="4"/>
  <c r="B6" i="4"/>
  <c r="G5" i="4"/>
  <c r="B5" i="4"/>
  <c r="B4" i="4"/>
  <c r="G3" i="4"/>
  <c r="B3" i="4"/>
  <c r="B2" i="4"/>
  <c r="F16" i="3"/>
  <c r="G2" i="4" s="1"/>
  <c r="F15" i="3"/>
  <c r="F14" i="3"/>
  <c r="F13" i="3"/>
  <c r="F12" i="3"/>
  <c r="F11" i="3"/>
  <c r="F10" i="3"/>
  <c r="F9" i="3"/>
  <c r="F8" i="3"/>
  <c r="F7" i="3"/>
  <c r="G7" i="4" s="1"/>
  <c r="F6" i="3"/>
  <c r="G4" i="4" s="1"/>
  <c r="F5" i="3"/>
  <c r="G6" i="4" s="1"/>
  <c r="F4" i="3"/>
  <c r="F3" i="3"/>
  <c r="G16" i="4" s="1"/>
  <c r="F2" i="3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G17" i="4" s="1"/>
  <c r="F12" i="2"/>
  <c r="G15" i="4" s="1"/>
  <c r="F11" i="2"/>
  <c r="G18" i="4" s="1"/>
  <c r="F10" i="2"/>
  <c r="F9" i="2"/>
  <c r="G13" i="4" s="1"/>
  <c r="F8" i="2"/>
  <c r="G9" i="4" s="1"/>
  <c r="F7" i="2"/>
  <c r="G10" i="4" s="1"/>
  <c r="F6" i="2"/>
  <c r="F5" i="2"/>
  <c r="G12" i="4" s="1"/>
  <c r="F4" i="2"/>
  <c r="F3" i="2"/>
  <c r="F2" i="2"/>
  <c r="G11" i="4" s="1"/>
  <c r="F32" i="1"/>
  <c r="E32" i="1"/>
  <c r="D32" i="1"/>
  <c r="C32" i="1"/>
  <c r="G32" i="1" s="1"/>
  <c r="F31" i="1"/>
  <c r="F33" i="1" s="1"/>
  <c r="E31" i="1"/>
  <c r="D31" i="1"/>
  <c r="C31" i="1"/>
  <c r="G31" i="1" s="1"/>
  <c r="H8" i="1"/>
  <c r="H7" i="1"/>
  <c r="F7" i="1"/>
  <c r="E7" i="1"/>
  <c r="D7" i="1"/>
  <c r="C7" i="1"/>
  <c r="H6" i="1"/>
  <c r="F6" i="1"/>
  <c r="E6" i="1"/>
  <c r="D6" i="1"/>
  <c r="D8" i="1" s="1"/>
  <c r="K6" i="1" s="1"/>
  <c r="C6" i="1"/>
  <c r="C8" i="1" s="1"/>
  <c r="G8" i="1" s="1"/>
  <c r="I8" i="1" l="1"/>
  <c r="D33" i="1"/>
  <c r="E33" i="1"/>
  <c r="E8" i="1"/>
  <c r="K7" i="1" s="1"/>
  <c r="F8" i="1"/>
  <c r="K8" i="1" s="1"/>
  <c r="G7" i="1"/>
  <c r="I7" i="1"/>
  <c r="H18" i="4"/>
  <c r="H7" i="4"/>
  <c r="H12" i="4"/>
  <c r="H6" i="4"/>
  <c r="H17" i="4"/>
  <c r="H11" i="4"/>
  <c r="H16" i="4"/>
  <c r="H5" i="4"/>
  <c r="H10" i="4"/>
  <c r="H15" i="4"/>
  <c r="H4" i="4"/>
  <c r="H9" i="4"/>
  <c r="H3" i="4"/>
  <c r="H8" i="4"/>
  <c r="H14" i="4"/>
  <c r="H2" i="4"/>
  <c r="H13" i="4"/>
  <c r="C33" i="1"/>
  <c r="G33" i="1" s="1"/>
  <c r="G6" i="1"/>
  <c r="I6" i="1" s="1"/>
</calcChain>
</file>

<file path=xl/sharedStrings.xml><?xml version="1.0" encoding="utf-8"?>
<sst xmlns="http://schemas.openxmlformats.org/spreadsheetml/2006/main" count="898" uniqueCount="456">
  <si>
    <t>FitLoyalty — Seguimiento de requisitos</t>
  </si>
  <si>
    <t>Estado de implementación verificado contra el código el 2026-10-16 (main @ 54b19fa). Todas las cifras son fórmulas sobre las hojas RF y RNF.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</si>
  <si>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</si>
  <si>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</si>
  <si>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</si>
  <si>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</si>
  <si>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</si>
  <si>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</si>
  <si>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</si>
  <si>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</si>
  <si>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</si>
  <si>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</si>
  <si>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</si>
  <si>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</si>
  <si>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</si>
  <si>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</si>
  <si>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</si>
  <si>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</si>
  <si>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</si>
  <si>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</si>
  <si>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</si>
  <si>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</si>
  <si>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</si>
  <si>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</si>
  <si>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</si>
  <si>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</si>
  <si>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</si>
  <si>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</si>
  <si>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</si>
  <si>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</si>
  <si>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</si>
  <si>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</si>
  <si>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</si>
  <si>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</si>
  <si>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</si>
  <si>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</si>
  <si>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</si>
  <si>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</si>
  <si>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</si>
  <si>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</si>
  <si>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</si>
  <si>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</si>
  <si>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</si>
  <si>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</si>
  <si>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</si>
  <si>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</si>
  <si>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</si>
  <si>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</si>
  <si>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</si>
  <si>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</si>
  <si>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</si>
  <si>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</si>
  <si>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</si>
  <si>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</si>
  <si>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</si>
  <si>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</si>
  <si>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</si>
  <si>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</si>
  <si>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</si>
  <si>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</si>
  <si>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</si>
  <si>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</si>
  <si>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</si>
  <si>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</si>
  <si>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</si>
  <si>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</si>
  <si>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</si>
  <si>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</si>
  <si>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</si>
  <si>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</si>
  <si>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</si>
  <si>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</si>
  <si>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</si>
  <si>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</si>
  <si>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</si>
  <si>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</si>
  <si>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</si>
  <si>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</si>
  <si>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</si>
  <si>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</si>
  <si>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</si>
  <si>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</si>
  <si>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</si>
  <si>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</si>
  <si>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</si>
  <si>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</si>
  <si>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</si>
  <si>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</si>
  <si>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</si>
  <si>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</si>
  <si>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</si>
  <si>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</si>
  <si>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</si>
  <si>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</si>
  <si>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</si>
  <si>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</si>
  <si>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</si>
  <si>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</si>
  <si>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</si>
  <si>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</si>
  <si>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</si>
  <si>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</si>
  <si>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</si>
  <si>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</si>
  <si>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</si>
  <si>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</si>
  <si>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</si>
  <si>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</si>
  <si>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</si>
  <si>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</si>
  <si>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</si>
  <si>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</si>
  <si>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</si>
  <si>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</si>
  <si>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</si>
  <si>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POST /api/admin/miembros/:id/contrato/enviar con control de gimnasio (admin-contrato.js:76-92) y registro en contrato_enviado con éxito o error (admin-contrato.js:109-114, :142-147, migración 008); vista previa e historial por API (:167, :195); botón «Enviar contrato» (MiembrosPage.jsx:855-880, :1735).</t>
  </si>
  <si>
    <t>Observación: depende de que la sesión de WhatsApp del servidor esté autenticada; si no lo está, informa el error y no envía.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</si>
  <si>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</si>
  <si>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</si>
  <si>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</si>
  <si>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</si>
  <si>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</si>
  <si>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</si>
  <si>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Ajuste de redacción: el PR #4 decía «ventana configurable» y módulo «Alertas de Abandono»; los días solo se cambian en la base de datos (gimnasio.dias_aviso_vencimiento, sin pantalla) y el aviso es de vencimiento, no de abandono.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</si>
  <si>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</si>
  <si>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</si>
  <si>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</si>
  <si>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</si>
  <si>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</si>
  <si>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app Flutter: login_screen.dart, qr_tab.dart, plan_tab.dart, asistencia_screen.dart, gamificacion_screen.dart; token en FlutterSecureStorage (api_client.dart:41).</t>
  </si>
  <si>
    <t>Ajuste de redacción: el PR #4 decía «rachas», que no se calculan (ver RQF-11); la app muestra hitos y retos de solo lectura. Sin pruebas automatizadas reales (widget_test.dart es una prueba mínima).</t>
  </si>
  <si>
    <t>HU-57, HU-58</t>
  </si>
  <si>
    <t>EV-22, EV-23</t>
  </si>
  <si>
    <t>El sistema debe ofrecer una aplicación móvil para el miembro con inicio de sesión, código QR personal, estado de membresía, historial de asistencia, hitos y retos activos.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</si>
  <si>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</si>
  <si>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</si>
  <si>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</si>
  <si>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Comentarios desactualizados dicen 7 días (auth.js:6, :98; trial.js:7).</t>
  </si>
  <si>
    <t>HU-56</t>
  </si>
  <si>
    <t>EV-24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</si>
  <si>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</si>
  <si>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</si>
  <si>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(index.js:68, :80). Flujo probado en Evidencias_Sustentacion/Informe_Pruebas_E2E.md (TC-2.1 a TC-2.3).</t>
  </si>
  <si>
    <t>HU-59</t>
  </si>
  <si>
    <t>EV-25, EV-26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</si>
  <si>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</si>
  <si>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</si>
  <si>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</si>
  <si>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</si>
  <si>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EV-27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</si>
  <si>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</si>
  <si>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</si>
  <si>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</si>
  <si>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EV-28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</si>
  <si>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</si>
  <si>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</si>
  <si>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</si>
  <si>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</si>
  <si>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</si>
  <si>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</si>
  <si>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EV-29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</si>
  <si>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</si>
  <si>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</si>
  <si>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</si>
  <si>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HU-62</t>
  </si>
  <si>
    <t>EV-30</t>
  </si>
  <si>
    <t>El sistema debe registrar por miembro el plan contratado, su vigencia, el valor total y pagado, el método y el estado del pago.</t>
  </si>
  <si>
    <t>RQF-22</t>
  </si>
  <si>
    <t>Cumplimiento</t>
  </si>
  <si>
    <t>DELETE /api/auth/account borra en una transacción los datos del gimnasio y el gimnasio (auth.js:480-548, DELETE de gimnasio en :546); pantalla EliminarCuentaPage.jsx:22 (ruta /legal/eliminar-cuenta, App.jsx:46).</t>
  </si>
  <si>
    <t>HU-63</t>
  </si>
  <si>
    <t>EV-31</t>
  </si>
  <si>
    <t>El sistema debe permitir al propietario eliminar su cuenta y los datos asociados del gimnasio.</t>
  </si>
  <si>
    <t>RQF-23</t>
  </si>
  <si>
    <t>GET /api/admin/notificaciones arma avisos de membresías vencidas, por vencer y miembros en riesgo con el mensaje listo (notificaciones.js:73-180); la campana los muestra y permite contactar por WhatsApp (MenuNotificaciones.jsx:38, :86-90).</t>
  </si>
  <si>
    <t>HU-64</t>
  </si>
  <si>
    <t>EV-32</t>
  </si>
  <si>
    <t>El sistema debe mostrar al administrador avisos accionables (vencimientos y riesgo de abandono) en un centro de notificaciones.</t>
  </si>
  <si>
    <t>RQF-24</t>
  </si>
  <si>
    <t>GET /api/asistencia devuelve los últimos 50 ingresos del gimnasio con total y entradas de hoy (asistencia.js:26-60); GET /api/admin/checkin alimenta la lista de ingresos de la pantalla de check-in (checkin.js:199-224, CheckinPage.jsx:46).</t>
  </si>
  <si>
    <t>Observación: DashboardUsuario.jsx consume /api/asistencia pero no tiene ruta en App.jsx; /api/asistencia no exige rol de personal (asistencia.js:21).</t>
  </si>
  <si>
    <t>HU-34</t>
  </si>
  <si>
    <t>EV-33</t>
  </si>
  <si>
    <t>El sistema debe listar los check-ins del gimnasio con un resumen de asistencia.</t>
  </si>
  <si>
    <t>RQF-25</t>
  </si>
  <si>
    <t>GET /api/vista/miembros-activos consulta vista_miembros_activos sin filtrar por id_gimnasio y solo con authenticate (vista.js:18, :27, :38): cualquier token, incluido el de un miembro de la app, ve nombre, documento, teléfono, correo y QR de todos los gimnasios. La vista solo se crea en ConsultasDB/Query_Inicial_Crear_Tablas.sql:473 (no en backend/migrations) y lee la tabla membresia, que el alta de miembros no llena (lib/planes.js:4-7). Ninguna pantalla llama a /api/vista.</t>
  </si>
  <si>
    <t>Filtrar por req.user.gymId y exigir rol de personal (o retirar la ruta), crear la vista en una migración que lea plan_cobro, y una pantalla que la use.</t>
  </si>
  <si>
    <t>HU-65</t>
  </si>
  <si>
    <t>EV-34, EV-35</t>
  </si>
  <si>
    <t>El sistema debe ofrecer una vista de los miembros activos del gimnasio.</t>
  </si>
  <si>
    <t>RQF-26</t>
  </si>
  <si>
    <t>PUT /api/cliente/me actualiza teléfono, correo y contacto de emergencia solo del miembro autenticado (cliente.js:171-225, requireClient en :112); pantalla editar_perfil_screen.dart y perfil_service.dart.</t>
  </si>
  <si>
    <t>HU-58</t>
  </si>
  <si>
    <t>EV-36</t>
  </si>
  <si>
    <t>El sistema debe permitir al miembro editar sus datos de perfil desde la aplicación móvil.</t>
  </si>
  <si>
    <t>RQNF-01</t>
  </si>
  <si>
    <t>Rendimiento</t>
  </si>
  <si>
    <t>No hay medición registrada.</t>
  </si>
  <si>
    <t>Medir y documentar (p. ej. 30 check-ins contra el entorno desplegado, tiempo de respuesta de POST /api/admin/checkin). Riesgo: si el QR no coincide directo, checkin.js:83-101 descifra en memoria los QR de todos los miembros del gimnasio.</t>
  </si>
  <si>
    <t>EV-37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</si>
  <si>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</si>
  <si>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</si>
  <si>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</si>
  <si>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</si>
  <si>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</si>
  <si>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EV-38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</si>
  <si>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</si>
  <si>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</si>
  <si>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</si>
  <si>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</si>
  <si>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</si>
  <si>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EV-39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</si>
  <si>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</si>
  <si>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</si>
  <si>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</si>
  <si>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</si>
  <si>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</si>
  <si>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</si>
  <si>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EV-40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</si>
  <si>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</si>
  <si>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</si>
  <si>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</si>
  <si>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Cada gimnasio nuevo se crea por registro, sin tocar código (auth.js:100, :134); casi todas las consultas filtran por el id_gimnasio del token (p. ej. miembros.js:358, checkin.js:76, dashboard.js:123, notificaciones.js:199; admin-contrato.js:92).</t>
  </si>
  <si>
    <t>GET /api/vista/miembros-activos no filtra por gimnasio (vista.js:27-42) y rompe el aislamiento entre gimnasios. No hay prueba de carga que respalde «sin degradación del rendimiento».</t>
  </si>
  <si>
    <t>EV-41, EV-42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</si>
  <si>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</si>
  <si>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</si>
  <si>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</si>
  <si>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</si>
  <si>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</si>
  <si>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EV-43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</si>
  <si>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</si>
  <si>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</si>
  <si>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</si>
  <si>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</si>
  <si>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</si>
  <si>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EV-44, EV-45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</si>
  <si>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</si>
  <si>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</si>
  <si>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</si>
  <si>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</si>
  <si>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</si>
  <si>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EV-46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</si>
  <si>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</si>
  <si>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</si>
  <si>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</si>
  <si>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Ajuste de redacción: se añadió el límite del login de la app, que también existe.</t>
  </si>
  <si>
    <t>EV-47</t>
  </si>
  <si>
    <t>El sistema debe limitar la tasa de intentos en los endpoints de inicio de sesión, recuperación de contraseña e inicio de sesión de la app del miembro.</t>
  </si>
  <si>
    <t>RQNF-10</t>
  </si>
  <si>
    <t>applyMigrations lee backend/migrations en orden, aplica solo las pendientes y las registra en schema_migrations (migrate.js:15-56); se ejecuta al arrancar (index.js:128-132). Migraciones 002 a 008 en backend/migrations.</t>
  </si>
  <si>
    <t>Observación: hay prefijos repetidos (004 y 005 dos veces) y backend/src/db/migrations/001_invitacion_staff.sql no la aplica el migrador.</t>
  </si>
  <si>
    <t>EV-48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</si>
  <si>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</si>
  <si>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</si>
  <si>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</si>
  <si>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</si>
  <si>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EV-49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</si>
  <si>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</si>
  <si>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</si>
  <si>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</si>
  <si>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EV-50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</si>
  <si>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</si>
  <si>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</si>
  <si>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</si>
  <si>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</si>
  <si>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EV-51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</si>
  <si>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</si>
  <si>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</si>
  <si>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</si>
  <si>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EV-52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</si>
  <si>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</si>
  <si>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</si>
  <si>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</si>
  <si>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</si>
  <si>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EV-53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</si>
  <si>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</si>
  <si>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</si>
  <si>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</si>
  <si>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</si>
  <si>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</si>
  <si>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</si>
  <si>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</si>
  <si>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</si>
  <si>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</si>
  <si>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Filtrar /api/vista/miembros-activos por gimnasio y rol, crear la vista por migración y mostrarla</t>
  </si>
  <si>
    <t>Cerrar la fuga entre gimnasios (sale con la corrección de RQF-25)</t>
  </si>
  <si>
    <t>Medir el tiempo del check-in en el entorno desplegado y documentarlo</t>
  </si>
  <si>
    <t>Luis o Santiago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</si>
  <si>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</si>
  <si>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</si>
  <si>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</si>
  <si>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</si>
  <si>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Gráfica de horas pico y refresco automático del dashboard</t>
  </si>
  <si>
    <t>Registrar el acceso bloqueado y mostrarlo en la campana del administrador</t>
  </si>
  <si>
    <t>Editar y desactivar cuentas del personal</t>
  </si>
  <si>
    <t>Medio</t>
  </si>
  <si>
    <t>Congelar y descongelar membresías</t>
  </si>
  <si>
    <t>Motor diario con Alerta Amarilla / Roja y umbrales editables</t>
  </si>
  <si>
    <t>Script test, pruebas de check-in y alertas hasta ≥ 70 % de cobertura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</si>
  <si>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</si>
  <si>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</si>
  <si>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</si>
  <si>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</si>
  <si>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</si>
  <si>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Orden de menor a mayor esfuerzo. «Avance global acumulado» suma los puntos de cada acción, en orden, sobre el avance actual y se pone verde al llegar a la meta. Lo decide Luis; las implementaciones las hace Santiago.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</si>
  <si>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</si>
  <si>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</si>
  <si>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</si>
  <si>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</si>
  <si>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</si>
  <si>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</si>
  <si>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</si>
  <si>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</si>
  <si>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</si>
  <si>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</si>
  <si>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</si>
  <si>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</si>
  <si>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</si>
  <si>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</si>
  <si>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</si>
  <si>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</si>
  <si>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</si>
  <si>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</si>
  <si>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</si>
  <si>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</si>
  <si>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</si>
  <si>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</si>
  <si>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</si>
  <si>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</si>
  <si>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</si>
  <si>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</si>
  <si>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</si>
  <si>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</si>
  <si>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</si>
  <si>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</si>
  <si>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</si>
  <si>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</si>
  <si>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</si>
  <si>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</si>
  <si>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</si>
  <si>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</si>
  <si>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</si>
  <si>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</si>
  <si>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</si>
  <si>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</si>
  <si>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</si>
  <si>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</si>
  <si>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</si>
  <si>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</si>
  <si>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</si>
  <si>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</si>
  <si>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</si>
  <si>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</si>
  <si>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</si>
  <si>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</si>
  <si>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</si>
  <si>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</si>
  <si>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</si>
  <si>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</si>
  <si>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</si>
  <si>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</si>
  <si>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</si>
  <si>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</si>
  <si>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</si>
  <si>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</si>
  <si>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backend/src/routes/admin-contrato.js:76-160, :167, :195; backend/migrations/008_contrato_enviado.sql; frontend/src/pages/MiembrosPage.jsx:855-880</t>
  </si>
  <si>
    <t>Envío del contrato por WhatsApp con registro de cada intento.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</si>
  <si>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</si>
  <si>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</si>
  <si>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</si>
  <si>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</si>
  <si>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</si>
  <si>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</si>
  <si>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</si>
  <si>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</si>
  <si>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</si>
  <si>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</si>
  <si>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</si>
  <si>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</si>
  <si>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</si>
  <si>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</si>
  <si>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</si>
  <si>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</si>
  <si>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EV-25</t>
  </si>
  <si>
    <t>backend/src/routes/auth.js:304, :360, :399, :447; backend/src/lib/email.js:289; frontend/src/pages/ForgotPasswordPage.jsx:121, :143, :161</t>
  </si>
  <si>
    <t>Recuperación de contraseña con código por correo.</t>
  </si>
  <si>
    <t>EV-26</t>
  </si>
  <si>
    <t>Prueba E2E</t>
  </si>
  <si>
    <t>Evidencias_Sustentacion/Informe_Pruebas_E2E.md (TC-2.1 a TC-2.3)</t>
  </si>
  <si>
    <t>Flujo de recuperación probado de punta a punta (15/06/2026).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</si>
  <si>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</si>
  <si>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</si>
  <si>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</si>
  <si>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</si>
  <si>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</si>
  <si>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</si>
  <si>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</si>
  <si>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</si>
  <si>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backend/src/routes/auth.js:480-548; frontend/src/pages/EliminarCuentaPage.jsx:22; frontend/src/App.jsx:46</t>
  </si>
  <si>
    <t>Eliminación de la cuenta y de los datos del gimnasio.</t>
  </si>
  <si>
    <t>backend/src/routes/notificaciones.js:73-180; frontend/src/components/MenuNotificaciones.jsx:38, :86-90</t>
  </si>
  <si>
    <t>Centro de avisos accionables en el encabezado.</t>
  </si>
  <si>
    <t>backend/src/routes/asistencia.js:21, :26-60; backend/src/routes/checkin.js:199-224; frontend/src/pages/CheckinPage.jsx:46</t>
  </si>
  <si>
    <t>Listado de ingresos con resumen.</t>
  </si>
  <si>
    <t>EV-34</t>
  </si>
  <si>
    <t>backend/src/routes/vista.js:18, :27, :38</t>
  </si>
  <si>
    <t>Sin filtro por gimnasio ni rol: expone datos personales de todos los gimnasios.</t>
  </si>
  <si>
    <t>EV-35</t>
  </si>
  <si>
    <t>ConsultasDB/Query_Inicial_Crear_Tablas.sql:473; backend/src/lib/planes.js:4-7</t>
  </si>
  <si>
    <t>La vista no se crea en las migraciones y lee una tabla vacía.</t>
  </si>
  <si>
    <t>backend/src/routes/cliente.js:112, :171-225; fitloyalty_cliente/lib/cliente/screens/editar_perfil_screen.dart; services/perfil_service.dart</t>
  </si>
  <si>
    <t>Edición del perfil desde la app.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</si>
  <si>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</si>
  <si>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</si>
  <si>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</si>
  <si>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</si>
  <si>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</si>
  <si>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</si>
  <si>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</si>
  <si>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</si>
  <si>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</si>
  <si>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EV-41</t>
  </si>
  <si>
    <t>backend/src/routes/auth.js:100, :134; miembros.js:358; checkin.js:76; dashboard.js:123; notificaciones.js:199; admin-contrato.js:92</t>
  </si>
  <si>
    <t>Alta de gimnasios sin código y aislamiento por id_gimnasio.</t>
  </si>
  <si>
    <t>EV-42</t>
  </si>
  <si>
    <t>backend/src/routes/vista.js:27-42</t>
  </si>
  <si>
    <t>Única consulta sin filtro de gimnasio encontrada.</t>
  </si>
  <si>
    <t>Documento</t>
  </si>
  <si>
    <t>Evidencias_Sustentacion/QA_Responsive_375px.md; frontend/package.json; vercel.json</t>
  </si>
  <si>
    <t>App web sin instalación; sin prueba en los 3 navegadores.</t>
  </si>
  <si>
    <t>EV-44</t>
  </si>
  <si>
    <t>Medición</t>
  </si>
  <si>
    <t>docs/evidencias/cobertura-backend-2026-10-16.txt</t>
  </si>
  <si>
    <t>Cobertura 0 % en checkin.js y notificaciones.js; 23 pruebas, 2 fallan.</t>
  </si>
  <si>
    <t>EV-45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</si>
  <si>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</si>
  <si>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</si>
  <si>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</si>
  <si>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</si>
  <si>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</si>
  <si>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</si>
  <si>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backend/src/db/migrate.js:15-56; backend/src/index.js:128-132; backend/migrations/</t>
  </si>
  <si>
    <t>Migraciones versionadas aplicadas al iniciar.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</si>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</sst>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0.73076923076923073</c:v>
                </c:pt>
                <c:pt idx="1">
                  <c:v>0.66666666666666663</c:v>
                </c:pt>
                <c:pt idx="2">
                  <c:v>0.70731707317073167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FB-4C1A-8484-4925770688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24</c:v>
                </c:pt>
                <c:pt idx="1">
                  <c:v>10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2-4F3F-8AB3-CB3FA28619E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1</v>
      </c>
    </row>
    <row r="5" spans="2:1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6" t="s">
        <v>8</v>
      </c>
      <c r="I5" s="6" t="s">
        <v>9</v>
      </c>
      <c r="J5" s="4" t="s">
        <v>10</v>
      </c>
      <c r="K5" s="4" t="s">
        <v>11</v>
      </c>
    </row>
    <row r="6" spans="2:11" x14ac:dyDescent="0.3">
      <c r="B6" s="7" t="s">
        <v>12</v>
      </c>
      <c r="C6" s="8">
        <f>COUNTA(RF!$A$2:$A$100)</f>
        <v>26</v>
      </c>
      <c r="D6" s="8">
        <f>COUNTIF(RF!$C$2:$C$100,"Implementado")</f>
        <v>16</v>
      </c>
      <c r="E6" s="8">
        <f>COUNTIF(RF!$C$2:$C$100,"Parcial")</f>
        <v>6</v>
      </c>
      <c r="F6" s="8">
        <f>COUNTIF(RF!$C$2:$C$100,"Pendiente")</f>
        <v>4</v>
      </c>
      <c r="G6" s="9">
        <f>IF(C6=0,0,SUM(RF!$F$2:$F$100)/C6)</f>
        <v>0.73076923076923073</v>
      </c>
      <c r="H6" s="10">
        <f>Resumen!$C$40</f>
        <v>0.8</v>
      </c>
      <c r="I6" s="11">
        <f>MAX(0,H6*C6-G6*C6)</f>
        <v>1.8000000000000007</v>
      </c>
      <c r="J6" t="s">
        <v>13</v>
      </c>
      <c r="K6">
        <f>D8</f>
        <v>24</v>
      </c>
    </row>
    <row r="7" spans="2:11" x14ac:dyDescent="0.3">
      <c r="B7" s="7" t="s">
        <v>14</v>
      </c>
      <c r="C7" s="8">
        <f>COUNTA(RNF!$A$2:$A$100)</f>
        <v>15</v>
      </c>
      <c r="D7" s="8">
        <f>COUNTIF(RNF!$C$2:$C$100,"Implementado")</f>
        <v>8</v>
      </c>
      <c r="E7" s="8">
        <f>COUNTIF(RNF!$C$2:$C$100,"Parcial")</f>
        <v>4</v>
      </c>
      <c r="F7" s="8">
        <f>COUNTIF(RNF!$C$2:$C$100,"Pendiente")</f>
        <v>3</v>
      </c>
      <c r="G7" s="9">
        <f>IF(C7=0,0,SUM(RNF!$F$2:$F$100)/C7)</f>
        <v>0.66666666666666663</v>
      </c>
      <c r="H7" s="10">
        <f>Resumen!$C$40</f>
        <v>0.8</v>
      </c>
      <c r="I7" s="11">
        <f>MAX(0,H7*C7-G7*C7)</f>
        <v>2</v>
      </c>
      <c r="J7" t="s">
        <v>15</v>
      </c>
      <c r="K7">
        <f>E8</f>
        <v>10</v>
      </c>
    </row>
    <row r="8" spans="2:11" x14ac:dyDescent="0.3">
      <c r="B8" s="12" t="s">
        <v>16</v>
      </c>
      <c r="C8" s="13">
        <f>C6+C7</f>
        <v>41</v>
      </c>
      <c r="D8" s="13">
        <f>D6+D7</f>
        <v>24</v>
      </c>
      <c r="E8" s="13">
        <f>E6+E7</f>
        <v>10</v>
      </c>
      <c r="F8" s="13">
        <f>F6+F7</f>
        <v>7</v>
      </c>
      <c r="G8" s="14">
        <f>IF(C8=0,0,(SUM(RF!$F$2:$F$100)+SUM(RNF!$F$2:$F$100))/C8)</f>
        <v>0.70731707317073167</v>
      </c>
      <c r="H8" s="15">
        <f>Resumen!$C$40</f>
        <v>0.8</v>
      </c>
      <c r="I8" s="16">
        <f>MAX(0,H8*C8-G8*C8)</f>
        <v>3.8000000000000043</v>
      </c>
      <c r="J8" t="s">
        <v>17</v>
      </c>
      <c r="K8">
        <f>F8</f>
        <v>7</v>
      </c>
    </row>
    <row r="10" spans="2:11" x14ac:dyDescent="0.3">
      <c r="B10" s="17" t="s">
        <v>18</v>
      </c>
    </row>
    <row r="29" spans="2:7" x14ac:dyDescent="0.3">
      <c r="B29" s="18" t="s">
        <v>19</v>
      </c>
    </row>
    <row r="30" spans="2:7" x14ac:dyDescent="0.3">
      <c r="B30" s="6" t="s">
        <v>2</v>
      </c>
      <c r="C30" s="6" t="s">
        <v>3</v>
      </c>
      <c r="D30" s="6" t="s">
        <v>4</v>
      </c>
      <c r="E30" s="6" t="s">
        <v>5</v>
      </c>
      <c r="F30" s="6" t="s">
        <v>6</v>
      </c>
      <c r="G30" s="6" t="s">
        <v>7</v>
      </c>
    </row>
    <row r="31" spans="2:7" x14ac:dyDescent="0.3">
      <c r="B31" s="7" t="s">
        <v>12</v>
      </c>
      <c r="C31" s="8">
        <f>COUNTIFS(RF!$A$2:$A$100,"RQ*",RF!$G$2:$G$100,"Original")</f>
        <v>12</v>
      </c>
      <c r="D31" s="8">
        <f>COUNTIFS(RF!$C$2:$C$100,"Implementado",RF!$G$2:$G$100,"Original")</f>
        <v>3</v>
      </c>
      <c r="E31" s="8">
        <f>COUNTIFS(RF!$C$2:$C$100,"Parcial",RF!$G$2:$G$100,"Original")</f>
        <v>6</v>
      </c>
      <c r="F31" s="8">
        <f>COUNTIFS(RF!$C$2:$C$100,"Pendiente",RF!$G$2:$G$100,"Original")</f>
        <v>3</v>
      </c>
      <c r="G31" s="9">
        <f>IF(C31=0,0,SUMIFS(RF!$F$2:$F$100,RF!$G$2:$G$100,"Original")/C31)</f>
        <v>0.5</v>
      </c>
    </row>
    <row r="32" spans="2:7" x14ac:dyDescent="0.3">
      <c r="B32" s="7" t="s">
        <v>14</v>
      </c>
      <c r="C32" s="8">
        <f>COUNTIFS(RNF!$A$2:$A$100,"RQ*",RNF!$G$2:$G$100,"Original")</f>
        <v>8</v>
      </c>
      <c r="D32" s="8">
        <f>COUNTIFS(RNF!$C$2:$C$100,"Implementado",RNF!$G$2:$G$100,"Original")</f>
        <v>2</v>
      </c>
      <c r="E32" s="8">
        <f>COUNTIFS(RNF!$C$2:$C$100,"Parcial",RNF!$G$2:$G$100,"Original")</f>
        <v>4</v>
      </c>
      <c r="F32" s="8">
        <f>COUNTIFS(RNF!$C$2:$C$100,"Pendiente",RNF!$G$2:$G$100,"Original")</f>
        <v>2</v>
      </c>
      <c r="G32" s="9">
        <f>IF(C32=0,0,SUMIFS(RNF!$F$2:$F$100,RNF!$G$2:$G$100,"Original")/C32)</f>
        <v>0.5</v>
      </c>
    </row>
    <row r="33" spans="2:7" x14ac:dyDescent="0.3">
      <c r="B33" s="12" t="s">
        <v>16</v>
      </c>
      <c r="C33" s="13">
        <f>C31+C32</f>
        <v>20</v>
      </c>
      <c r="D33" s="13">
        <f>D31+D32</f>
        <v>5</v>
      </c>
      <c r="E33" s="13">
        <f>E31+E32</f>
        <v>10</v>
      </c>
      <c r="F33" s="13">
        <f>F31+F32</f>
        <v>5</v>
      </c>
      <c r="G33" s="14">
        <f>IF(C33=0,0,(SUMIFS(RF!$F$2:$F$100,RF!$G$2:$G$100,"Original")+SUMIFS(RNF!$F$2:$F$100,RNF!$G$2:$G$100,"Original"))/C33)</f>
        <v>0.5</v>
      </c>
    </row>
    <row r="35" spans="2:7" x14ac:dyDescent="0.3">
      <c r="B35" s="18" t="s">
        <v>20</v>
      </c>
    </row>
    <row r="36" spans="2:7" x14ac:dyDescent="0.3">
      <c r="B36" s="19" t="s">
        <v>13</v>
      </c>
      <c r="C36" s="20">
        <v>1</v>
      </c>
      <c r="D36" s="17" t="s">
        <v>21</v>
      </c>
    </row>
    <row r="37" spans="2:7" x14ac:dyDescent="0.3">
      <c r="B37" s="19" t="s">
        <v>15</v>
      </c>
      <c r="C37" s="20">
        <v>0.5</v>
      </c>
    </row>
    <row r="38" spans="2:7" x14ac:dyDescent="0.3">
      <c r="B38" s="19" t="s">
        <v>17</v>
      </c>
      <c r="C38" s="20">
        <v>0</v>
      </c>
    </row>
    <row r="40" spans="2:7" x14ac:dyDescent="0.3">
      <c r="B40" s="18" t="s">
        <v>22</v>
      </c>
      <c r="C40" s="21">
        <v>0.8</v>
      </c>
      <c r="D40" s="17" t="s"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33</v>
      </c>
      <c r="B2" s="23" t="s">
        <v>34</v>
      </c>
      <c r="C2" s="24" t="s">
        <v>15</v>
      </c>
      <c r="D2" s="23" t="s">
        <v>35</v>
      </c>
      <c r="E2" s="23" t="s">
        <v>36</v>
      </c>
      <c r="F2" s="25">
        <f>IFERROR(INDEX(Resumen!$C$36:$C$38,MATCH(C2,Resumen!$B$36:$B$38,0)),0)</f>
        <v>0.5</v>
      </c>
      <c r="G2" s="24" t="s">
        <v>37</v>
      </c>
      <c r="H2" s="23" t="s">
        <v>38</v>
      </c>
      <c r="I2" s="23" t="s">
        <v>39</v>
      </c>
      <c r="J2" s="23" t="s">
        <v>40</v>
      </c>
    </row>
    <row r="3" spans="1:10" ht="43.2" x14ac:dyDescent="0.3">
      <c r="A3" s="22" t="s">
        <v>41</v>
      </c>
      <c r="B3" s="23" t="s">
        <v>34</v>
      </c>
      <c r="C3" s="24" t="s">
        <v>15</v>
      </c>
      <c r="D3" s="23" t="s">
        <v>42</v>
      </c>
      <c r="E3" s="23" t="s">
        <v>43</v>
      </c>
      <c r="F3" s="25">
        <f>IFERROR(INDEX(Resumen!$C$36:$C$38,MATCH(C3,Resumen!$B$36:$B$38,0)),0)</f>
        <v>0.5</v>
      </c>
      <c r="G3" s="24" t="s">
        <v>37</v>
      </c>
      <c r="H3" s="23" t="s">
        <v>44</v>
      </c>
      <c r="I3" s="23" t="s">
        <v>45</v>
      </c>
      <c r="J3" s="23" t="s">
        <v>46</v>
      </c>
    </row>
    <row r="4" spans="1:10" ht="57.6" x14ac:dyDescent="0.3">
      <c r="A4" s="22" t="s">
        <v>47</v>
      </c>
      <c r="B4" s="23" t="s">
        <v>48</v>
      </c>
      <c r="C4" s="24" t="s">
        <v>13</v>
      </c>
      <c r="D4" s="23" t="s">
        <v>49</v>
      </c>
      <c r="E4" s="23" t="s">
        <v>50</v>
      </c>
      <c r="F4" s="25">
        <f>IFERROR(INDEX(Resumen!$C$36:$C$38,MATCH(C4,Resumen!$B$36:$B$38,0)),0)</f>
        <v>1</v>
      </c>
      <c r="G4" s="24" t="s">
        <v>37</v>
      </c>
      <c r="H4" s="23" t="s">
        <v>51</v>
      </c>
      <c r="I4" s="23" t="s">
        <v>52</v>
      </c>
      <c r="J4" s="23" t="s">
        <v>53</v>
      </c>
    </row>
    <row r="5" spans="1:10" ht="57.6" x14ac:dyDescent="0.3">
      <c r="A5" s="22" t="s">
        <v>54</v>
      </c>
      <c r="B5" s="23" t="s">
        <v>48</v>
      </c>
      <c r="C5" s="24" t="s">
        <v>15</v>
      </c>
      <c r="D5" s="23" t="s">
        <v>55</v>
      </c>
      <c r="E5" s="23" t="s">
        <v>56</v>
      </c>
      <c r="F5" s="25">
        <f>IFERROR(INDEX(Resumen!$C$36:$C$38,MATCH(C5,Resumen!$B$36:$B$38,0)),0)</f>
        <v>0.5</v>
      </c>
      <c r="G5" s="24" t="s">
        <v>37</v>
      </c>
      <c r="H5" s="23" t="s">
        <v>57</v>
      </c>
      <c r="I5" s="23" t="s">
        <v>58</v>
      </c>
      <c r="J5" s="23" t="s">
        <v>59</v>
      </c>
    </row>
    <row r="6" spans="1:10" ht="57.6" x14ac:dyDescent="0.3">
      <c r="A6" s="22" t="s">
        <v>60</v>
      </c>
      <c r="B6" s="23" t="s">
        <v>61</v>
      </c>
      <c r="C6" s="24" t="s">
        <v>13</v>
      </c>
      <c r="D6" s="23" t="s">
        <v>62</v>
      </c>
      <c r="E6" s="23" t="s">
        <v>63</v>
      </c>
      <c r="F6" s="25">
        <f>IFERROR(INDEX(Resumen!$C$36:$C$38,MATCH(C6,Resumen!$B$36:$B$38,0)),0)</f>
        <v>1</v>
      </c>
      <c r="G6" s="24" t="s">
        <v>37</v>
      </c>
      <c r="H6" s="23" t="s">
        <v>64</v>
      </c>
      <c r="I6" s="23" t="s">
        <v>65</v>
      </c>
      <c r="J6" s="23" t="s">
        <v>66</v>
      </c>
    </row>
    <row r="7" spans="1:10" ht="43.2" x14ac:dyDescent="0.3">
      <c r="A7" s="22" t="s">
        <v>67</v>
      </c>
      <c r="B7" s="23" t="s">
        <v>61</v>
      </c>
      <c r="C7" s="24" t="s">
        <v>15</v>
      </c>
      <c r="D7" s="23" t="s">
        <v>68</v>
      </c>
      <c r="E7" s="23" t="s">
        <v>69</v>
      </c>
      <c r="F7" s="25">
        <f>IFERROR(INDEX(Resumen!$C$36:$C$38,MATCH(C7,Resumen!$B$36:$B$38,0)),0)</f>
        <v>0.5</v>
      </c>
      <c r="G7" s="24" t="s">
        <v>37</v>
      </c>
      <c r="H7" s="23" t="s">
        <v>70</v>
      </c>
      <c r="I7" s="23" t="s">
        <v>71</v>
      </c>
      <c r="J7" s="23" t="s">
        <v>72</v>
      </c>
    </row>
    <row r="8" spans="1:10" ht="43.2" x14ac:dyDescent="0.3">
      <c r="A8" s="22" t="s">
        <v>73</v>
      </c>
      <c r="B8" s="23" t="s">
        <v>74</v>
      </c>
      <c r="C8" s="24" t="s">
        <v>15</v>
      </c>
      <c r="D8" s="23" t="s">
        <v>75</v>
      </c>
      <c r="E8" s="23" t="s">
        <v>76</v>
      </c>
      <c r="F8" s="25">
        <f>IFERROR(INDEX(Resumen!$C$36:$C$38,MATCH(C8,Resumen!$B$36:$B$38,0)),0)</f>
        <v>0.5</v>
      </c>
      <c r="G8" s="24" t="s">
        <v>37</v>
      </c>
      <c r="H8" s="23" t="s">
        <v>77</v>
      </c>
      <c r="I8" s="23" t="s">
        <v>78</v>
      </c>
      <c r="J8" s="23" t="s">
        <v>79</v>
      </c>
    </row>
    <row r="9" spans="1:10" ht="57.6" x14ac:dyDescent="0.3">
      <c r="A9" s="22" t="s">
        <v>80</v>
      </c>
      <c r="B9" s="23" t="s">
        <v>81</v>
      </c>
      <c r="C9" s="24" t="s">
        <v>15</v>
      </c>
      <c r="D9" s="23" t="s">
        <v>82</v>
      </c>
      <c r="E9" s="23" t="s">
        <v>83</v>
      </c>
      <c r="F9" s="25">
        <f>IFERROR(INDEX(Resumen!$C$36:$C$38,MATCH(C9,Resumen!$B$36:$B$38,0)),0)</f>
        <v>0.5</v>
      </c>
      <c r="G9" s="24" t="s">
        <v>37</v>
      </c>
      <c r="H9" s="23" t="s">
        <v>84</v>
      </c>
      <c r="I9" s="23" t="s">
        <v>85</v>
      </c>
      <c r="J9" s="23" t="s">
        <v>86</v>
      </c>
    </row>
    <row r="10" spans="1:10" ht="57.6" x14ac:dyDescent="0.3">
      <c r="A10" s="22" t="s">
        <v>87</v>
      </c>
      <c r="B10" s="23" t="s">
        <v>81</v>
      </c>
      <c r="C10" s="24" t="s">
        <v>13</v>
      </c>
      <c r="D10" s="23" t="s">
        <v>88</v>
      </c>
      <c r="E10" s="23" t="s">
        <v>89</v>
      </c>
      <c r="F10" s="25">
        <f>IFERROR(INDEX(Resumen!$C$36:$C$38,MATCH(C10,Resumen!$B$36:$B$38,0)),0)</f>
        <v>1</v>
      </c>
      <c r="G10" s="24" t="s">
        <v>37</v>
      </c>
      <c r="H10" s="23" t="s">
        <v>90</v>
      </c>
      <c r="I10" s="23" t="s">
        <v>91</v>
      </c>
      <c r="J10" s="23" t="s">
        <v>92</v>
      </c>
    </row>
    <row r="11" spans="1:10" ht="57.6" x14ac:dyDescent="0.3">
      <c r="A11" s="22" t="s">
        <v>93</v>
      </c>
      <c r="B11" s="23" t="s">
        <v>94</v>
      </c>
      <c r="C11" s="24" t="s">
        <v>17</v>
      </c>
      <c r="D11" s="23" t="s">
        <v>95</v>
      </c>
      <c r="E11" s="23" t="s">
        <v>96</v>
      </c>
      <c r="F11" s="25">
        <f>IFERROR(INDEX(Resumen!$C$36:$C$38,MATCH(C11,Resumen!$B$36:$B$38,0)),0)</f>
        <v>0</v>
      </c>
      <c r="G11" s="24" t="s">
        <v>37</v>
      </c>
      <c r="H11" s="23" t="s">
        <v>97</v>
      </c>
      <c r="I11" s="23" t="s">
        <v>98</v>
      </c>
      <c r="J11" s="23" t="s">
        <v>99</v>
      </c>
    </row>
    <row r="12" spans="1:10" ht="57.6" x14ac:dyDescent="0.3">
      <c r="A12" s="22" t="s">
        <v>100</v>
      </c>
      <c r="B12" s="23" t="s">
        <v>101</v>
      </c>
      <c r="C12" s="24" t="s">
        <v>17</v>
      </c>
      <c r="D12" s="23" t="s">
        <v>102</v>
      </c>
      <c r="E12" s="23" t="s">
        <v>103</v>
      </c>
      <c r="F12" s="25">
        <f>IFERROR(INDEX(Resumen!$C$36:$C$38,MATCH(C12,Resumen!$B$36:$B$38,0)),0)</f>
        <v>0</v>
      </c>
      <c r="G12" s="24" t="s">
        <v>37</v>
      </c>
      <c r="H12" s="23" t="s">
        <v>104</v>
      </c>
      <c r="I12" s="23" t="s">
        <v>105</v>
      </c>
      <c r="J12" s="23" t="s">
        <v>106</v>
      </c>
    </row>
    <row r="13" spans="1:10" ht="57.6" x14ac:dyDescent="0.3">
      <c r="A13" s="22" t="s">
        <v>107</v>
      </c>
      <c r="B13" s="23" t="s">
        <v>101</v>
      </c>
      <c r="C13" s="24" t="s">
        <v>17</v>
      </c>
      <c r="D13" s="23" t="s">
        <v>108</v>
      </c>
      <c r="E13" s="23" t="s">
        <v>109</v>
      </c>
      <c r="F13" s="25">
        <f>IFERROR(INDEX(Resumen!$C$36:$C$38,MATCH(C13,Resumen!$B$36:$B$38,0)),0)</f>
        <v>0</v>
      </c>
      <c r="G13" s="24" t="s">
        <v>37</v>
      </c>
      <c r="H13" s="23" t="s">
        <v>110</v>
      </c>
      <c r="I13" s="23" t="s">
        <v>111</v>
      </c>
      <c r="J13" s="23" t="s">
        <v>112</v>
      </c>
    </row>
    <row r="14" spans="1:10" ht="57.6" x14ac:dyDescent="0.3">
      <c r="A14" s="22" t="s">
        <v>113</v>
      </c>
      <c r="B14" s="23" t="s">
        <v>114</v>
      </c>
      <c r="C14" s="24" t="s">
        <v>13</v>
      </c>
      <c r="D14" s="23" t="s">
        <v>115</v>
      </c>
      <c r="E14" s="23" t="s">
        <v>116</v>
      </c>
      <c r="F14" s="25">
        <f>IFERROR(INDEX(Resumen!$C$36:$C$38,MATCH(C14,Resumen!$B$36:$B$38,0)),0)</f>
        <v>1</v>
      </c>
      <c r="G14" s="24" t="s">
        <v>117</v>
      </c>
      <c r="H14" s="23" t="s">
        <v>118</v>
      </c>
      <c r="I14" s="23" t="s">
        <v>119</v>
      </c>
      <c r="J14" s="23" t="s">
        <v>120</v>
      </c>
    </row>
    <row r="15" spans="1:10" ht="57.6" x14ac:dyDescent="0.3">
      <c r="A15" s="22" t="s">
        <v>121</v>
      </c>
      <c r="B15" s="23" t="s">
        <v>48</v>
      </c>
      <c r="C15" s="24" t="s">
        <v>13</v>
      </c>
      <c r="D15" s="23" t="s">
        <v>122</v>
      </c>
      <c r="E15" s="23" t="s">
        <v>123</v>
      </c>
      <c r="F15" s="25">
        <f>IFERROR(INDEX(Resumen!$C$36:$C$38,MATCH(C15,Resumen!$B$36:$B$38,0)),0)</f>
        <v>1</v>
      </c>
      <c r="G15" s="24" t="s">
        <v>117</v>
      </c>
      <c r="H15" s="23" t="s">
        <v>124</v>
      </c>
      <c r="I15" s="23" t="s">
        <v>125</v>
      </c>
      <c r="J15" s="23" t="s">
        <v>126</v>
      </c>
    </row>
    <row r="16" spans="1:10" ht="86.4" x14ac:dyDescent="0.3">
      <c r="A16" s="22" t="s">
        <v>127</v>
      </c>
      <c r="B16" s="23" t="s">
        <v>128</v>
      </c>
      <c r="C16" s="24" t="s">
        <v>13</v>
      </c>
      <c r="D16" s="23" t="s">
        <v>129</v>
      </c>
      <c r="E16" s="23" t="s">
        <v>130</v>
      </c>
      <c r="F16" s="25">
        <f>IFERROR(INDEX(Resumen!$C$36:$C$38,MATCH(C16,Resumen!$B$36:$B$38,0)),0)</f>
        <v>1</v>
      </c>
      <c r="G16" s="24" t="s">
        <v>117</v>
      </c>
      <c r="H16" s="23" t="s">
        <v>131</v>
      </c>
      <c r="I16" s="23" t="s">
        <v>132</v>
      </c>
      <c r="J16" s="23" t="s">
        <v>133</v>
      </c>
    </row>
    <row r="17" spans="1:10" ht="57.6" x14ac:dyDescent="0.3">
      <c r="A17" s="22" t="s">
        <v>134</v>
      </c>
      <c r="B17" s="23" t="s">
        <v>135</v>
      </c>
      <c r="C17" s="24" t="s">
        <v>13</v>
      </c>
      <c r="D17" s="23" t="s">
        <v>136</v>
      </c>
      <c r="E17" s="23" t="s">
        <v>137</v>
      </c>
      <c r="F17" s="25">
        <f>IFERROR(INDEX(Resumen!$C$36:$C$38,MATCH(C17,Resumen!$B$36:$B$38,0)),0)</f>
        <v>1</v>
      </c>
      <c r="G17" s="24" t="s">
        <v>117</v>
      </c>
      <c r="H17" s="23" t="s">
        <v>138</v>
      </c>
      <c r="I17" s="23" t="s">
        <v>139</v>
      </c>
      <c r="J17" s="23" t="s">
        <v>140</v>
      </c>
    </row>
    <row r="18" spans="1:10" ht="86.4" x14ac:dyDescent="0.3">
      <c r="A18" s="22" t="s">
        <v>141</v>
      </c>
      <c r="B18" s="23" t="s">
        <v>34</v>
      </c>
      <c r="C18" s="24" t="s">
        <v>13</v>
      </c>
      <c r="D18" s="23" t="s">
        <v>142</v>
      </c>
      <c r="E18" s="23" t="s">
        <v>63</v>
      </c>
      <c r="F18" s="25">
        <f>IFERROR(INDEX(Resumen!$C$36:$C$38,MATCH(C18,Resumen!$B$36:$B$38,0)),0)</f>
        <v>1</v>
      </c>
      <c r="G18" s="24" t="s">
        <v>117</v>
      </c>
      <c r="H18" s="23" t="s">
        <v>143</v>
      </c>
      <c r="I18" s="23" t="s">
        <v>144</v>
      </c>
      <c r="J18" s="23" t="s">
        <v>145</v>
      </c>
    </row>
    <row r="19" spans="1:10" ht="43.2" x14ac:dyDescent="0.3">
      <c r="A19" s="22" t="s">
        <v>146</v>
      </c>
      <c r="B19" s="23" t="s">
        <v>74</v>
      </c>
      <c r="C19" s="24" t="s">
        <v>13</v>
      </c>
      <c r="D19" s="23" t="s">
        <v>147</v>
      </c>
      <c r="E19" s="23" t="s">
        <v>63</v>
      </c>
      <c r="F19" s="25">
        <f>IFERROR(INDEX(Resumen!$C$36:$C$38,MATCH(C19,Resumen!$B$36:$B$38,0)),0)</f>
        <v>1</v>
      </c>
      <c r="G19" s="24" t="s">
        <v>117</v>
      </c>
      <c r="H19" s="23" t="s">
        <v>148</v>
      </c>
      <c r="I19" s="23" t="s">
        <v>149</v>
      </c>
      <c r="J19" s="23" t="s">
        <v>150</v>
      </c>
    </row>
    <row r="20" spans="1:10" ht="43.2" x14ac:dyDescent="0.3">
      <c r="A20" s="22" t="s">
        <v>151</v>
      </c>
      <c r="B20" s="23" t="s">
        <v>34</v>
      </c>
      <c r="C20" s="24" t="s">
        <v>13</v>
      </c>
      <c r="D20" s="23" t="s">
        <v>152</v>
      </c>
      <c r="E20" s="23" t="s">
        <v>63</v>
      </c>
      <c r="F20" s="25">
        <f>IFERROR(INDEX(Resumen!$C$36:$C$38,MATCH(C20,Resumen!$B$36:$B$38,0)),0)</f>
        <v>1</v>
      </c>
      <c r="G20" s="24" t="s">
        <v>117</v>
      </c>
      <c r="H20" s="23" t="s">
        <v>138</v>
      </c>
      <c r="I20" s="23" t="s">
        <v>153</v>
      </c>
      <c r="J20" s="23" t="s">
        <v>154</v>
      </c>
    </row>
    <row r="21" spans="1:10" ht="57.6" x14ac:dyDescent="0.3">
      <c r="A21" s="22" t="s">
        <v>155</v>
      </c>
      <c r="B21" s="23" t="s">
        <v>156</v>
      </c>
      <c r="C21" s="24" t="s">
        <v>13</v>
      </c>
      <c r="D21" s="23" t="s">
        <v>157</v>
      </c>
      <c r="E21" s="23" t="s">
        <v>158</v>
      </c>
      <c r="F21" s="25">
        <f>IFERROR(INDEX(Resumen!$C$36:$C$38,MATCH(C21,Resumen!$B$36:$B$38,0)),0)</f>
        <v>1</v>
      </c>
      <c r="G21" s="24" t="s">
        <v>117</v>
      </c>
      <c r="H21" s="23" t="s">
        <v>159</v>
      </c>
      <c r="I21" s="23" t="s">
        <v>160</v>
      </c>
      <c r="J21" s="23" t="s">
        <v>161</v>
      </c>
    </row>
    <row r="22" spans="1:10" ht="57.6" x14ac:dyDescent="0.3">
      <c r="A22" s="22" t="s">
        <v>162</v>
      </c>
      <c r="B22" s="23" t="s">
        <v>48</v>
      </c>
      <c r="C22" s="24" t="s">
        <v>13</v>
      </c>
      <c r="D22" s="23" t="s">
        <v>163</v>
      </c>
      <c r="E22" s="23" t="s">
        <v>63</v>
      </c>
      <c r="F22" s="25">
        <f>IFERROR(INDEX(Resumen!$C$36:$C$38,MATCH(C22,Resumen!$B$36:$B$38,0)),0)</f>
        <v>1</v>
      </c>
      <c r="G22" s="24" t="s">
        <v>117</v>
      </c>
      <c r="H22" s="23" t="s">
        <v>164</v>
      </c>
      <c r="I22" s="23" t="s">
        <v>165</v>
      </c>
      <c r="J22" s="23" t="s">
        <v>166</v>
      </c>
    </row>
    <row r="23" spans="1:10" ht="43.2" x14ac:dyDescent="0.3">
      <c r="A23" s="22" t="s">
        <v>167</v>
      </c>
      <c r="B23" s="23" t="s">
        <v>168</v>
      </c>
      <c r="C23" s="24" t="s">
        <v>13</v>
      </c>
      <c r="D23" s="23" t="s">
        <v>169</v>
      </c>
      <c r="E23" s="23" t="s">
        <v>63</v>
      </c>
      <c r="F23" s="25">
        <f>IFERROR(INDEX(Resumen!$C$36:$C$38,MATCH(C23,Resumen!$B$36:$B$38,0)),0)</f>
        <v>1</v>
      </c>
      <c r="G23" s="24" t="s">
        <v>117</v>
      </c>
      <c r="H23" s="23" t="s">
        <v>170</v>
      </c>
      <c r="I23" s="23" t="s">
        <v>171</v>
      </c>
      <c r="J23" s="23" t="s">
        <v>172</v>
      </c>
    </row>
    <row r="24" spans="1:10" ht="43.2" x14ac:dyDescent="0.3">
      <c r="A24" s="22" t="s">
        <v>173</v>
      </c>
      <c r="B24" s="23" t="s">
        <v>74</v>
      </c>
      <c r="C24" s="24" t="s">
        <v>13</v>
      </c>
      <c r="D24" s="23" t="s">
        <v>174</v>
      </c>
      <c r="E24" s="23" t="s">
        <v>63</v>
      </c>
      <c r="F24" s="25">
        <f>IFERROR(INDEX(Resumen!$C$36:$C$38,MATCH(C24,Resumen!$B$36:$B$38,0)),0)</f>
        <v>1</v>
      </c>
      <c r="G24" s="24" t="s">
        <v>117</v>
      </c>
      <c r="H24" s="23" t="s">
        <v>175</v>
      </c>
      <c r="I24" s="23" t="s">
        <v>176</v>
      </c>
      <c r="J24" s="23" t="s">
        <v>177</v>
      </c>
    </row>
    <row r="25" spans="1:10" ht="43.2" x14ac:dyDescent="0.3">
      <c r="A25" s="22" t="s">
        <v>178</v>
      </c>
      <c r="B25" s="23" t="s">
        <v>61</v>
      </c>
      <c r="C25" s="24" t="s">
        <v>13</v>
      </c>
      <c r="D25" s="23" t="s">
        <v>179</v>
      </c>
      <c r="E25" s="23" t="s">
        <v>180</v>
      </c>
      <c r="F25" s="25">
        <f>IFERROR(INDEX(Resumen!$C$36:$C$38,MATCH(C25,Resumen!$B$36:$B$38,0)),0)</f>
        <v>1</v>
      </c>
      <c r="G25" s="24" t="s">
        <v>117</v>
      </c>
      <c r="H25" s="23" t="s">
        <v>181</v>
      </c>
      <c r="I25" s="23" t="s">
        <v>182</v>
      </c>
      <c r="J25" s="23" t="s">
        <v>183</v>
      </c>
    </row>
    <row r="26" spans="1:10" ht="100.8" x14ac:dyDescent="0.3">
      <c r="A26" s="22" t="s">
        <v>184</v>
      </c>
      <c r="B26" s="23" t="s">
        <v>48</v>
      </c>
      <c r="C26" s="24" t="s">
        <v>17</v>
      </c>
      <c r="D26" s="23" t="s">
        <v>185</v>
      </c>
      <c r="E26" s="23" t="s">
        <v>186</v>
      </c>
      <c r="F26" s="25">
        <f>IFERROR(INDEX(Resumen!$C$36:$C$38,MATCH(C26,Resumen!$B$36:$B$38,0)),0)</f>
        <v>0</v>
      </c>
      <c r="G26" s="24" t="s">
        <v>117</v>
      </c>
      <c r="H26" s="23" t="s">
        <v>187</v>
      </c>
      <c r="I26" s="23" t="s">
        <v>188</v>
      </c>
      <c r="J26" s="23" t="s">
        <v>189</v>
      </c>
    </row>
    <row r="27" spans="1:10" ht="43.2" x14ac:dyDescent="0.3">
      <c r="A27" s="22" t="s">
        <v>190</v>
      </c>
      <c r="B27" s="23" t="s">
        <v>128</v>
      </c>
      <c r="C27" s="24" t="s">
        <v>13</v>
      </c>
      <c r="D27" s="23" t="s">
        <v>191</v>
      </c>
      <c r="E27" s="23" t="s">
        <v>63</v>
      </c>
      <c r="F27" s="25">
        <f>IFERROR(INDEX(Resumen!$C$36:$C$38,MATCH(C27,Resumen!$B$36:$B$38,0)),0)</f>
        <v>1</v>
      </c>
      <c r="G27" s="24" t="s">
        <v>117</v>
      </c>
      <c r="H27" s="23" t="s">
        <v>192</v>
      </c>
      <c r="I27" s="23" t="s">
        <v>193</v>
      </c>
      <c r="J27" s="23" t="s">
        <v>194</v>
      </c>
    </row>
  </sheetData>
  <autoFilter ref="A1:J27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195</v>
      </c>
      <c r="B2" s="23" t="s">
        <v>196</v>
      </c>
      <c r="C2" s="24" t="s">
        <v>17</v>
      </c>
      <c r="D2" s="23" t="s">
        <v>197</v>
      </c>
      <c r="E2" s="23" t="s">
        <v>198</v>
      </c>
      <c r="F2" s="25">
        <f>IFERROR(INDEX(Resumen!$C$36:$C$38,MATCH(C2,Resumen!$B$36:$B$38,0)),0)</f>
        <v>0</v>
      </c>
      <c r="G2" s="24" t="s">
        <v>37</v>
      </c>
      <c r="H2" s="23" t="s">
        <v>63</v>
      </c>
      <c r="I2" s="23" t="s">
        <v>199</v>
      </c>
      <c r="J2" s="23" t="s">
        <v>200</v>
      </c>
    </row>
    <row r="3" spans="1:10" ht="43.2" x14ac:dyDescent="0.3">
      <c r="A3" s="22" t="s">
        <v>201</v>
      </c>
      <c r="B3" s="23" t="s">
        <v>202</v>
      </c>
      <c r="C3" s="24" t="s">
        <v>17</v>
      </c>
      <c r="D3" s="23" t="s">
        <v>203</v>
      </c>
      <c r="E3" s="23" t="s">
        <v>204</v>
      </c>
      <c r="F3" s="25">
        <f>IFERROR(INDEX(Resumen!$C$36:$C$38,MATCH(C3,Resumen!$B$36:$B$38,0)),0)</f>
        <v>0</v>
      </c>
      <c r="G3" s="24" t="s">
        <v>37</v>
      </c>
      <c r="H3" s="23" t="s">
        <v>63</v>
      </c>
      <c r="I3" s="23" t="s">
        <v>205</v>
      </c>
      <c r="J3" s="23" t="s">
        <v>206</v>
      </c>
    </row>
    <row r="4" spans="1:10" ht="43.2" x14ac:dyDescent="0.3">
      <c r="A4" s="22" t="s">
        <v>207</v>
      </c>
      <c r="B4" s="23" t="s">
        <v>208</v>
      </c>
      <c r="C4" s="24" t="s">
        <v>13</v>
      </c>
      <c r="D4" s="23" t="s">
        <v>209</v>
      </c>
      <c r="E4" s="23" t="s">
        <v>210</v>
      </c>
      <c r="F4" s="25">
        <f>IFERROR(INDEX(Resumen!$C$36:$C$38,MATCH(C4,Resumen!$B$36:$B$38,0)),0)</f>
        <v>1</v>
      </c>
      <c r="G4" s="24" t="s">
        <v>37</v>
      </c>
      <c r="H4" s="23" t="s">
        <v>63</v>
      </c>
      <c r="I4" s="23" t="s">
        <v>211</v>
      </c>
      <c r="J4" s="23" t="s">
        <v>212</v>
      </c>
    </row>
    <row r="5" spans="1:10" ht="43.2" x14ac:dyDescent="0.3">
      <c r="A5" s="22" t="s">
        <v>213</v>
      </c>
      <c r="B5" s="23" t="s">
        <v>214</v>
      </c>
      <c r="C5" s="24" t="s">
        <v>15</v>
      </c>
      <c r="D5" s="23" t="s">
        <v>215</v>
      </c>
      <c r="E5" s="23" t="s">
        <v>216</v>
      </c>
      <c r="F5" s="25">
        <f>IFERROR(INDEX(Resumen!$C$36:$C$38,MATCH(C5,Resumen!$B$36:$B$38,0)),0)</f>
        <v>0.5</v>
      </c>
      <c r="G5" s="24" t="s">
        <v>37</v>
      </c>
      <c r="H5" s="23" t="s">
        <v>217</v>
      </c>
      <c r="I5" s="23" t="s">
        <v>218</v>
      </c>
      <c r="J5" s="23" t="s">
        <v>219</v>
      </c>
    </row>
    <row r="6" spans="1:10" ht="43.2" x14ac:dyDescent="0.3">
      <c r="A6" s="22" t="s">
        <v>220</v>
      </c>
      <c r="B6" s="23" t="s">
        <v>221</v>
      </c>
      <c r="C6" s="24" t="s">
        <v>15</v>
      </c>
      <c r="D6" s="23" t="s">
        <v>222</v>
      </c>
      <c r="E6" s="23" t="s">
        <v>223</v>
      </c>
      <c r="F6" s="25">
        <f>IFERROR(INDEX(Resumen!$C$36:$C$38,MATCH(C6,Resumen!$B$36:$B$38,0)),0)</f>
        <v>0.5</v>
      </c>
      <c r="G6" s="24" t="s">
        <v>37</v>
      </c>
      <c r="H6" s="23" t="s">
        <v>138</v>
      </c>
      <c r="I6" s="23" t="s">
        <v>224</v>
      </c>
      <c r="J6" s="23" t="s">
        <v>225</v>
      </c>
    </row>
    <row r="7" spans="1:10" ht="43.2" x14ac:dyDescent="0.3">
      <c r="A7" s="22" t="s">
        <v>226</v>
      </c>
      <c r="B7" s="23" t="s">
        <v>227</v>
      </c>
      <c r="C7" s="24" t="s">
        <v>15</v>
      </c>
      <c r="D7" s="23" t="s">
        <v>228</v>
      </c>
      <c r="E7" s="23" t="s">
        <v>229</v>
      </c>
      <c r="F7" s="25">
        <f>IFERROR(INDEX(Resumen!$C$36:$C$38,MATCH(C7,Resumen!$B$36:$B$38,0)),0)</f>
        <v>0.5</v>
      </c>
      <c r="G7" s="24" t="s">
        <v>37</v>
      </c>
      <c r="H7" s="23" t="s">
        <v>63</v>
      </c>
      <c r="I7" s="23" t="s">
        <v>230</v>
      </c>
      <c r="J7" s="23" t="s">
        <v>231</v>
      </c>
    </row>
    <row r="8" spans="1:10" ht="57.6" x14ac:dyDescent="0.3">
      <c r="A8" s="22" t="s">
        <v>232</v>
      </c>
      <c r="B8" s="23" t="s">
        <v>233</v>
      </c>
      <c r="C8" s="24" t="s">
        <v>15</v>
      </c>
      <c r="D8" s="23" t="s">
        <v>234</v>
      </c>
      <c r="E8" s="23" t="s">
        <v>235</v>
      </c>
      <c r="F8" s="25">
        <f>IFERROR(INDEX(Resumen!$C$36:$C$38,MATCH(C8,Resumen!$B$36:$B$38,0)),0)</f>
        <v>0.5</v>
      </c>
      <c r="G8" s="24" t="s">
        <v>37</v>
      </c>
      <c r="H8" s="23" t="s">
        <v>63</v>
      </c>
      <c r="I8" s="23" t="s">
        <v>236</v>
      </c>
      <c r="J8" s="23" t="s">
        <v>237</v>
      </c>
    </row>
    <row r="9" spans="1:10" ht="43.2" x14ac:dyDescent="0.3">
      <c r="A9" s="22" t="s">
        <v>238</v>
      </c>
      <c r="B9" s="23" t="s">
        <v>239</v>
      </c>
      <c r="C9" s="24" t="s">
        <v>13</v>
      </c>
      <c r="D9" s="23" t="s">
        <v>240</v>
      </c>
      <c r="E9" s="23" t="s">
        <v>241</v>
      </c>
      <c r="F9" s="25">
        <f>IFERROR(INDEX(Resumen!$C$36:$C$38,MATCH(C9,Resumen!$B$36:$B$38,0)),0)</f>
        <v>1</v>
      </c>
      <c r="G9" s="24" t="s">
        <v>37</v>
      </c>
      <c r="H9" s="23" t="s">
        <v>63</v>
      </c>
      <c r="I9" s="23" t="s">
        <v>242</v>
      </c>
      <c r="J9" s="23" t="s">
        <v>243</v>
      </c>
    </row>
    <row r="10" spans="1:10" ht="43.2" x14ac:dyDescent="0.3">
      <c r="A10" s="22" t="s">
        <v>244</v>
      </c>
      <c r="B10" s="23" t="s">
        <v>208</v>
      </c>
      <c r="C10" s="24" t="s">
        <v>13</v>
      </c>
      <c r="D10" s="23" t="s">
        <v>245</v>
      </c>
      <c r="E10" s="23" t="s">
        <v>246</v>
      </c>
      <c r="F10" s="25">
        <f>IFERROR(INDEX(Resumen!$C$36:$C$38,MATCH(C10,Resumen!$B$36:$B$38,0)),0)</f>
        <v>1</v>
      </c>
      <c r="G10" s="24" t="s">
        <v>117</v>
      </c>
      <c r="H10" s="23" t="s">
        <v>63</v>
      </c>
      <c r="I10" s="23" t="s">
        <v>247</v>
      </c>
      <c r="J10" s="23" t="s">
        <v>248</v>
      </c>
    </row>
    <row r="11" spans="1:10" ht="43.2" x14ac:dyDescent="0.3">
      <c r="A11" s="22" t="s">
        <v>249</v>
      </c>
      <c r="B11" s="23" t="s">
        <v>233</v>
      </c>
      <c r="C11" s="24" t="s">
        <v>13</v>
      </c>
      <c r="D11" s="23" t="s">
        <v>250</v>
      </c>
      <c r="E11" s="23" t="s">
        <v>251</v>
      </c>
      <c r="F11" s="25">
        <f>IFERROR(INDEX(Resumen!$C$36:$C$38,MATCH(C11,Resumen!$B$36:$B$38,0)),0)</f>
        <v>1</v>
      </c>
      <c r="G11" s="24" t="s">
        <v>117</v>
      </c>
      <c r="H11" s="23" t="s">
        <v>63</v>
      </c>
      <c r="I11" s="23" t="s">
        <v>252</v>
      </c>
      <c r="J11" s="23" t="s">
        <v>253</v>
      </c>
    </row>
    <row r="12" spans="1:10" ht="57.6" x14ac:dyDescent="0.3">
      <c r="A12" s="22" t="s">
        <v>254</v>
      </c>
      <c r="B12" s="23" t="s">
        <v>233</v>
      </c>
      <c r="C12" s="24" t="s">
        <v>13</v>
      </c>
      <c r="D12" s="23" t="s">
        <v>255</v>
      </c>
      <c r="E12" s="23" t="s">
        <v>256</v>
      </c>
      <c r="F12" s="25">
        <f>IFERROR(INDEX(Resumen!$C$36:$C$38,MATCH(C12,Resumen!$B$36:$B$38,0)),0)</f>
        <v>1</v>
      </c>
      <c r="G12" s="24" t="s">
        <v>117</v>
      </c>
      <c r="H12" s="23" t="s">
        <v>63</v>
      </c>
      <c r="I12" s="23" t="s">
        <v>257</v>
      </c>
      <c r="J12" s="23" t="s">
        <v>258</v>
      </c>
    </row>
    <row r="13" spans="1:10" ht="28.8" x14ac:dyDescent="0.3">
      <c r="A13" s="22" t="s">
        <v>259</v>
      </c>
      <c r="B13" s="23" t="s">
        <v>168</v>
      </c>
      <c r="C13" s="24" t="s">
        <v>13</v>
      </c>
      <c r="D13" s="23" t="s">
        <v>260</v>
      </c>
      <c r="E13" s="23" t="s">
        <v>63</v>
      </c>
      <c r="F13" s="25">
        <f>IFERROR(INDEX(Resumen!$C$36:$C$38,MATCH(C13,Resumen!$B$36:$B$38,0)),0)</f>
        <v>1</v>
      </c>
      <c r="G13" s="24" t="s">
        <v>117</v>
      </c>
      <c r="H13" s="23" t="s">
        <v>63</v>
      </c>
      <c r="I13" s="23" t="s">
        <v>261</v>
      </c>
      <c r="J13" s="23" t="s">
        <v>262</v>
      </c>
    </row>
    <row r="14" spans="1:10" ht="28.8" x14ac:dyDescent="0.3">
      <c r="A14" s="22" t="s">
        <v>263</v>
      </c>
      <c r="B14" s="23" t="s">
        <v>264</v>
      </c>
      <c r="C14" s="24" t="s">
        <v>13</v>
      </c>
      <c r="D14" s="23" t="s">
        <v>265</v>
      </c>
      <c r="E14" s="23" t="s">
        <v>63</v>
      </c>
      <c r="F14" s="25">
        <f>IFERROR(INDEX(Resumen!$C$36:$C$38,MATCH(C14,Resumen!$B$36:$B$38,0)),0)</f>
        <v>1</v>
      </c>
      <c r="G14" s="24" t="s">
        <v>117</v>
      </c>
      <c r="H14" s="23" t="s">
        <v>63</v>
      </c>
      <c r="I14" s="23" t="s">
        <v>266</v>
      </c>
      <c r="J14" s="23" t="s">
        <v>267</v>
      </c>
    </row>
    <row r="15" spans="1:10" ht="43.2" x14ac:dyDescent="0.3">
      <c r="A15" s="22" t="s">
        <v>268</v>
      </c>
      <c r="B15" s="23" t="s">
        <v>233</v>
      </c>
      <c r="C15" s="24" t="s">
        <v>13</v>
      </c>
      <c r="D15" s="23" t="s">
        <v>269</v>
      </c>
      <c r="E15" s="23" t="s">
        <v>63</v>
      </c>
      <c r="F15" s="25">
        <f>IFERROR(INDEX(Resumen!$C$36:$C$38,MATCH(C15,Resumen!$B$36:$B$38,0)),0)</f>
        <v>1</v>
      </c>
      <c r="G15" s="24" t="s">
        <v>117</v>
      </c>
      <c r="H15" s="23" t="s">
        <v>63</v>
      </c>
      <c r="I15" s="23" t="s">
        <v>270</v>
      </c>
      <c r="J15" s="23" t="s">
        <v>271</v>
      </c>
    </row>
    <row r="16" spans="1:10" ht="43.2" x14ac:dyDescent="0.3">
      <c r="A16" s="22" t="s">
        <v>272</v>
      </c>
      <c r="B16" s="23" t="s">
        <v>208</v>
      </c>
      <c r="C16" s="24" t="s">
        <v>17</v>
      </c>
      <c r="D16" s="23" t="s">
        <v>273</v>
      </c>
      <c r="E16" s="23" t="s">
        <v>274</v>
      </c>
      <c r="F16" s="25">
        <f>IFERROR(INDEX(Resumen!$C$36:$C$38,MATCH(C16,Resumen!$B$36:$B$38,0)),0)</f>
        <v>0</v>
      </c>
      <c r="G16" s="24" t="s">
        <v>117</v>
      </c>
      <c r="H16" s="23" t="s">
        <v>63</v>
      </c>
      <c r="I16" s="23" t="s">
        <v>275</v>
      </c>
      <c r="J16" s="23" t="s">
        <v>276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24</v>
      </c>
      <c r="B1" s="6" t="s">
        <v>10</v>
      </c>
      <c r="C1" s="6" t="s">
        <v>17</v>
      </c>
      <c r="D1" s="6" t="s">
        <v>277</v>
      </c>
      <c r="E1" s="6" t="s">
        <v>278</v>
      </c>
      <c r="F1" s="6" t="s">
        <v>279</v>
      </c>
      <c r="G1" s="6" t="s">
        <v>280</v>
      </c>
      <c r="H1" s="6" t="s">
        <v>281</v>
      </c>
    </row>
    <row r="2" spans="1:8" ht="28.8" x14ac:dyDescent="0.3">
      <c r="A2" s="22" t="s">
        <v>272</v>
      </c>
      <c r="B2" s="24" t="str">
        <f>IFERROR(INDEX(RF!$C$2:$C$100,MATCH($A2,RF!$A$2:$A$100,0)),INDEX(RNF!$C$2:$C$100,MATCH($A2,RNF!$A$2:$A$100,0)))</f>
        <v>Pendiente</v>
      </c>
      <c r="C2" s="23" t="s">
        <v>274</v>
      </c>
      <c r="D2" s="23" t="s">
        <v>282</v>
      </c>
      <c r="E2" s="23" t="s">
        <v>283</v>
      </c>
      <c r="F2" s="24" t="s">
        <v>284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0.73170731707317072</v>
      </c>
    </row>
    <row r="3" spans="1:8" ht="28.8" x14ac:dyDescent="0.3">
      <c r="A3" s="22" t="s">
        <v>184</v>
      </c>
      <c r="B3" s="24" t="str">
        <f>IFERROR(INDEX(RF!$C$2:$C$100,MATCH($A3,RF!$A$2:$A$100,0)),INDEX(RNF!$C$2:$C$100,MATCH($A3,RNF!$A$2:$A$100,0)))</f>
        <v>Pendiente</v>
      </c>
      <c r="C3" s="23" t="s">
        <v>186</v>
      </c>
      <c r="D3" s="23" t="s">
        <v>285</v>
      </c>
      <c r="E3" s="23" t="s">
        <v>283</v>
      </c>
      <c r="F3" s="24" t="s">
        <v>284</v>
      </c>
      <c r="G3" s="25">
        <f>1-IFERROR(INDEX(RF!$F$2:$F$100,MATCH($A3,RF!$A$2:$A$100,0)),INDEX(RNF!$F$2:$F$100,MATCH($A3,RNF!$A$2:$A$100,0)))</f>
        <v>1</v>
      </c>
      <c r="H3" s="26">
        <f>(Resumen!$G$8*Resumen!$C$8+SUM($G$2:G3))/Resumen!$C$8</f>
        <v>0.75609756097560976</v>
      </c>
    </row>
    <row r="4" spans="1:8" ht="43.2" x14ac:dyDescent="0.3">
      <c r="A4" s="22" t="s">
        <v>220</v>
      </c>
      <c r="B4" s="24" t="str">
        <f>IFERROR(INDEX(RF!$C$2:$C$100,MATCH($A4,RF!$A$2:$A$100,0)),INDEX(RNF!$C$2:$C$100,MATCH($A4,RNF!$A$2:$A$100,0)))</f>
        <v>Parcial</v>
      </c>
      <c r="C4" s="23" t="s">
        <v>223</v>
      </c>
      <c r="D4" s="23" t="s">
        <v>286</v>
      </c>
      <c r="E4" s="23" t="s">
        <v>283</v>
      </c>
      <c r="F4" s="24" t="s">
        <v>284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0.76829268292682928</v>
      </c>
    </row>
    <row r="5" spans="1:8" ht="43.2" x14ac:dyDescent="0.3">
      <c r="A5" s="22" t="s">
        <v>195</v>
      </c>
      <c r="B5" s="24" t="str">
        <f>IFERROR(INDEX(RF!$C$2:$C$100,MATCH($A5,RF!$A$2:$A$100,0)),INDEX(RNF!$C$2:$C$100,MATCH($A5,RNF!$A$2:$A$100,0)))</f>
        <v>Pendiente</v>
      </c>
      <c r="C5" s="23" t="s">
        <v>198</v>
      </c>
      <c r="D5" s="23" t="s">
        <v>287</v>
      </c>
      <c r="E5" s="23" t="s">
        <v>288</v>
      </c>
      <c r="F5" s="24" t="s">
        <v>284</v>
      </c>
      <c r="G5" s="25">
        <f>1-IFERROR(INDEX(RF!$F$2:$F$100,MATCH($A5,RF!$A$2:$A$100,0)),INDEX(RNF!$F$2:$F$100,MATCH($A5,RNF!$A$2:$A$100,0)))</f>
        <v>1</v>
      </c>
      <c r="H5" s="26">
        <f>(Resumen!$G$8*Resumen!$C$8+SUM($G$2:G5))/Resumen!$C$8</f>
        <v>0.79268292682926833</v>
      </c>
    </row>
    <row r="6" spans="1:8" ht="28.8" x14ac:dyDescent="0.3">
      <c r="A6" s="22" t="s">
        <v>213</v>
      </c>
      <c r="B6" s="24" t="str">
        <f>IFERROR(INDEX(RF!$C$2:$C$100,MATCH($A6,RF!$A$2:$A$100,0)),INDEX(RNF!$C$2:$C$100,MATCH($A6,RNF!$A$2:$A$100,0)))</f>
        <v>Parcial</v>
      </c>
      <c r="C6" s="23" t="s">
        <v>216</v>
      </c>
      <c r="D6" s="23" t="s">
        <v>289</v>
      </c>
      <c r="E6" s="23" t="s">
        <v>290</v>
      </c>
      <c r="F6" s="24" t="s">
        <v>284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0.80487804878048785</v>
      </c>
    </row>
    <row r="7" spans="1:8" ht="28.8" x14ac:dyDescent="0.3">
      <c r="A7" s="22" t="s">
        <v>226</v>
      </c>
      <c r="B7" s="24" t="str">
        <f>IFERROR(INDEX(RF!$C$2:$C$100,MATCH($A7,RF!$A$2:$A$100,0)),INDEX(RNF!$C$2:$C$100,MATCH($A7,RNF!$A$2:$A$100,0)))</f>
        <v>Parcial</v>
      </c>
      <c r="C7" s="23" t="s">
        <v>229</v>
      </c>
      <c r="D7" s="23" t="s">
        <v>291</v>
      </c>
      <c r="E7" s="23" t="s">
        <v>290</v>
      </c>
      <c r="F7" s="24" t="s">
        <v>284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0.81707317073170727</v>
      </c>
    </row>
    <row r="8" spans="1:8" ht="43.2" x14ac:dyDescent="0.3">
      <c r="A8" s="22" t="s">
        <v>41</v>
      </c>
      <c r="B8" s="24" t="str">
        <f>IFERROR(INDEX(RF!$C$2:$C$100,MATCH($A8,RF!$A$2:$A$100,0)),INDEX(RNF!$C$2:$C$100,MATCH($A8,RNF!$A$2:$A$100,0)))</f>
        <v>Parcial</v>
      </c>
      <c r="C8" s="23" t="s">
        <v>43</v>
      </c>
      <c r="D8" s="23" t="s">
        <v>292</v>
      </c>
      <c r="E8" s="23" t="s">
        <v>283</v>
      </c>
      <c r="F8" s="24" t="s">
        <v>284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0.82926829268292679</v>
      </c>
    </row>
    <row r="9" spans="1:8" ht="43.2" x14ac:dyDescent="0.3">
      <c r="A9" s="22" t="s">
        <v>73</v>
      </c>
      <c r="B9" s="24" t="str">
        <f>IFERROR(INDEX(RF!$C$2:$C$100,MATCH($A9,RF!$A$2:$A$100,0)),INDEX(RNF!$C$2:$C$100,MATCH($A9,RNF!$A$2:$A$100,0)))</f>
        <v>Parcial</v>
      </c>
      <c r="C9" s="23" t="s">
        <v>76</v>
      </c>
      <c r="D9" s="23" t="s">
        <v>293</v>
      </c>
      <c r="E9" s="23" t="s">
        <v>283</v>
      </c>
      <c r="F9" s="24" t="s">
        <v>284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0.84146341463414631</v>
      </c>
    </row>
    <row r="10" spans="1:8" ht="43.2" x14ac:dyDescent="0.3">
      <c r="A10" s="22" t="s">
        <v>67</v>
      </c>
      <c r="B10" s="24" t="str">
        <f>IFERROR(INDEX(RF!$C$2:$C$100,MATCH($A10,RF!$A$2:$A$100,0)),INDEX(RNF!$C$2:$C$100,MATCH($A10,RNF!$A$2:$A$100,0)))</f>
        <v>Parcial</v>
      </c>
      <c r="C10" s="23" t="s">
        <v>69</v>
      </c>
      <c r="D10" s="23" t="s">
        <v>294</v>
      </c>
      <c r="E10" s="23" t="s">
        <v>283</v>
      </c>
      <c r="F10" s="24" t="s">
        <v>284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0.85365853658536583</v>
      </c>
    </row>
    <row r="11" spans="1:8" ht="28.8" x14ac:dyDescent="0.3">
      <c r="A11" s="22" t="s">
        <v>33</v>
      </c>
      <c r="B11" s="24" t="str">
        <f>IFERROR(INDEX(RF!$C$2:$C$100,MATCH($A11,RF!$A$2:$A$100,0)),INDEX(RNF!$C$2:$C$100,MATCH($A11,RNF!$A$2:$A$100,0)))</f>
        <v>Parcial</v>
      </c>
      <c r="C11" s="23" t="s">
        <v>36</v>
      </c>
      <c r="D11" s="23" t="s">
        <v>295</v>
      </c>
      <c r="E11" s="23" t="s">
        <v>283</v>
      </c>
      <c r="F11" s="24" t="s">
        <v>296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0.86585365853658536</v>
      </c>
    </row>
    <row r="12" spans="1:8" ht="28.8" x14ac:dyDescent="0.3">
      <c r="A12" s="22" t="s">
        <v>54</v>
      </c>
      <c r="B12" s="24" t="str">
        <f>IFERROR(INDEX(RF!$C$2:$C$100,MATCH($A12,RF!$A$2:$A$100,0)),INDEX(RNF!$C$2:$C$100,MATCH($A12,RNF!$A$2:$A$100,0)))</f>
        <v>Parcial</v>
      </c>
      <c r="C12" s="23" t="s">
        <v>56</v>
      </c>
      <c r="D12" s="23" t="s">
        <v>297</v>
      </c>
      <c r="E12" s="23" t="s">
        <v>283</v>
      </c>
      <c r="F12" s="24" t="s">
        <v>296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0.87804878048780488</v>
      </c>
    </row>
    <row r="13" spans="1:8" ht="43.2" x14ac:dyDescent="0.3">
      <c r="A13" s="22" t="s">
        <v>80</v>
      </c>
      <c r="B13" s="24" t="str">
        <f>IFERROR(INDEX(RF!$C$2:$C$100,MATCH($A13,RF!$A$2:$A$100,0)),INDEX(RNF!$C$2:$C$100,MATCH($A13,RNF!$A$2:$A$100,0)))</f>
        <v>Parcial</v>
      </c>
      <c r="C13" s="23" t="s">
        <v>83</v>
      </c>
      <c r="D13" s="23" t="s">
        <v>298</v>
      </c>
      <c r="E13" s="23" t="s">
        <v>283</v>
      </c>
      <c r="F13" s="24" t="s">
        <v>296</v>
      </c>
      <c r="G13" s="25">
        <f>1-IFERROR(INDEX(RF!$F$2:$F$100,MATCH($A13,RF!$A$2:$A$100,0)),INDEX(RNF!$F$2:$F$100,MATCH($A13,RNF!$A$2:$A$100,0)))</f>
        <v>0.5</v>
      </c>
      <c r="H13" s="26">
        <f>(Resumen!$G$8*Resumen!$C$8+SUM($G$2:G13))/Resumen!$C$8</f>
        <v>0.8902439024390244</v>
      </c>
    </row>
    <row r="14" spans="1:8" ht="28.8" x14ac:dyDescent="0.3">
      <c r="A14" s="22" t="s">
        <v>232</v>
      </c>
      <c r="B14" s="24" t="str">
        <f>IFERROR(INDEX(RF!$C$2:$C$100,MATCH($A14,RF!$A$2:$A$100,0)),INDEX(RNF!$C$2:$C$100,MATCH($A14,RNF!$A$2:$A$100,0)))</f>
        <v>Parcial</v>
      </c>
      <c r="C14" s="23" t="s">
        <v>235</v>
      </c>
      <c r="D14" s="23" t="s">
        <v>299</v>
      </c>
      <c r="E14" s="23" t="s">
        <v>283</v>
      </c>
      <c r="F14" s="24" t="s">
        <v>296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0.90243902439024393</v>
      </c>
    </row>
    <row r="15" spans="1:8" ht="28.8" x14ac:dyDescent="0.3">
      <c r="A15" s="22" t="s">
        <v>100</v>
      </c>
      <c r="B15" s="24" t="str">
        <f>IFERROR(INDEX(RF!$C$2:$C$100,MATCH($A15,RF!$A$2:$A$100,0)),INDEX(RNF!$C$2:$C$100,MATCH($A15,RNF!$A$2:$A$100,0)))</f>
        <v>Pendiente</v>
      </c>
      <c r="C15" s="23" t="s">
        <v>103</v>
      </c>
      <c r="D15" s="23" t="s">
        <v>300</v>
      </c>
      <c r="E15" s="23" t="s">
        <v>283</v>
      </c>
      <c r="F15" s="24" t="s">
        <v>296</v>
      </c>
      <c r="G15" s="25">
        <f>1-IFERROR(INDEX(RF!$F$2:$F$100,MATCH($A15,RF!$A$2:$A$100,0)),INDEX(RNF!$F$2:$F$100,MATCH($A15,RNF!$A$2:$A$100,0)))</f>
        <v>1</v>
      </c>
      <c r="H15" s="26">
        <f>(Resumen!$G$8*Resumen!$C$8+SUM($G$2:G15))/Resumen!$C$8</f>
        <v>0.92682926829268297</v>
      </c>
    </row>
    <row r="16" spans="1:8" ht="28.8" x14ac:dyDescent="0.3">
      <c r="A16" s="22" t="s">
        <v>201</v>
      </c>
      <c r="B16" s="24" t="str">
        <f>IFERROR(INDEX(RF!$C$2:$C$100,MATCH($A16,RF!$A$2:$A$100,0)),INDEX(RNF!$C$2:$C$100,MATCH($A16,RNF!$A$2:$A$100,0)))</f>
        <v>Pendiente</v>
      </c>
      <c r="C16" s="23" t="s">
        <v>204</v>
      </c>
      <c r="D16" s="23" t="s">
        <v>301</v>
      </c>
      <c r="E16" s="23" t="s">
        <v>290</v>
      </c>
      <c r="F16" s="24" t="s">
        <v>296</v>
      </c>
      <c r="G16" s="25">
        <f>1-IFERROR(INDEX(RF!$F$2:$F$100,MATCH($A16,RF!$A$2:$A$100,0)),INDEX(RNF!$F$2:$F$100,MATCH($A16,RNF!$A$2:$A$100,0)))</f>
        <v>1</v>
      </c>
      <c r="H16" s="26">
        <f>(Resumen!$G$8*Resumen!$C$8+SUM($G$2:G16))/Resumen!$C$8</f>
        <v>0.95121951219512191</v>
      </c>
    </row>
    <row r="17" spans="1:8" ht="28.8" x14ac:dyDescent="0.3">
      <c r="A17" s="22" t="s">
        <v>107</v>
      </c>
      <c r="B17" s="24" t="str">
        <f>IFERROR(INDEX(RF!$C$2:$C$100,MATCH($A17,RF!$A$2:$A$100,0)),INDEX(RNF!$C$2:$C$100,MATCH($A17,RNF!$A$2:$A$100,0)))</f>
        <v>Pendiente</v>
      </c>
      <c r="C17" s="23" t="s">
        <v>109</v>
      </c>
      <c r="D17" s="23" t="s">
        <v>302</v>
      </c>
      <c r="E17" s="23" t="s">
        <v>283</v>
      </c>
      <c r="F17" s="24" t="s">
        <v>303</v>
      </c>
      <c r="G17" s="25">
        <f>1-IFERROR(INDEX(RF!$F$2:$F$100,MATCH($A17,RF!$A$2:$A$100,0)),INDEX(RNF!$F$2:$F$100,MATCH($A17,RNF!$A$2:$A$100,0)))</f>
        <v>1</v>
      </c>
      <c r="H17" s="26">
        <f>(Resumen!$G$8*Resumen!$C$8+SUM($G$2:G17))/Resumen!$C$8</f>
        <v>0.97560975609756095</v>
      </c>
    </row>
    <row r="18" spans="1:8" x14ac:dyDescent="0.3">
      <c r="A18" s="22" t="s">
        <v>93</v>
      </c>
      <c r="B18" s="24" t="str">
        <f>IFERROR(INDEX(RF!$C$2:$C$100,MATCH($A18,RF!$A$2:$A$100,0)),INDEX(RNF!$C$2:$C$100,MATCH($A18,RNF!$A$2:$A$100,0)))</f>
        <v>Pendiente</v>
      </c>
      <c r="C18" s="23" t="s">
        <v>96</v>
      </c>
      <c r="D18" s="23" t="s">
        <v>304</v>
      </c>
      <c r="E18" s="23" t="s">
        <v>283</v>
      </c>
      <c r="F18" s="24" t="s">
        <v>303</v>
      </c>
      <c r="G18" s="25">
        <f>1-IFERROR(INDEX(RF!$F$2:$F$100,MATCH($A18,RF!$A$2:$A$100,0)),INDEX(RNF!$F$2:$F$100,MATCH($A18,RNF!$A$2:$A$100,0)))</f>
        <v>1</v>
      </c>
      <c r="H18" s="26">
        <f>(Resumen!$G$8*Resumen!$C$8+SUM($G$2:G18))/Resumen!$C$8</f>
        <v>1</v>
      </c>
    </row>
    <row r="20" spans="1:8" x14ac:dyDescent="0.3">
      <c r="A20" s="17" t="s">
        <v>305</v>
      </c>
    </row>
  </sheetData>
  <conditionalFormatting sqref="B2:B18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6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306</v>
      </c>
      <c r="B1" s="6" t="s">
        <v>307</v>
      </c>
      <c r="C1" s="6" t="s">
        <v>2</v>
      </c>
      <c r="D1" s="6" t="s">
        <v>308</v>
      </c>
      <c r="E1" s="6" t="s">
        <v>309</v>
      </c>
      <c r="F1" s="6" t="s">
        <v>310</v>
      </c>
      <c r="G1" s="6" t="s">
        <v>311</v>
      </c>
    </row>
    <row r="2" spans="1:7" x14ac:dyDescent="0.3">
      <c r="A2" s="22" t="s">
        <v>312</v>
      </c>
      <c r="B2" s="23" t="s">
        <v>33</v>
      </c>
      <c r="C2" s="23" t="s">
        <v>24</v>
      </c>
      <c r="D2" s="23" t="s">
        <v>313</v>
      </c>
      <c r="E2" s="23" t="s">
        <v>314</v>
      </c>
      <c r="F2" s="23" t="s">
        <v>315</v>
      </c>
      <c r="G2" s="23" t="s">
        <v>316</v>
      </c>
    </row>
    <row r="3" spans="1:7" x14ac:dyDescent="0.3">
      <c r="A3" s="22" t="s">
        <v>317</v>
      </c>
      <c r="B3" s="23" t="s">
        <v>33</v>
      </c>
      <c r="C3" s="23" t="s">
        <v>24</v>
      </c>
      <c r="D3" s="23" t="s">
        <v>318</v>
      </c>
      <c r="E3" s="23" t="s">
        <v>319</v>
      </c>
      <c r="F3" s="23" t="s">
        <v>315</v>
      </c>
      <c r="G3" s="23" t="s">
        <v>316</v>
      </c>
    </row>
    <row r="4" spans="1:7" x14ac:dyDescent="0.3">
      <c r="A4" s="22" t="s">
        <v>320</v>
      </c>
      <c r="B4" s="23" t="s">
        <v>41</v>
      </c>
      <c r="C4" s="23" t="s">
        <v>24</v>
      </c>
      <c r="D4" s="23" t="s">
        <v>321</v>
      </c>
      <c r="E4" s="23" t="s">
        <v>322</v>
      </c>
      <c r="F4" s="23" t="s">
        <v>315</v>
      </c>
      <c r="G4" s="23" t="s">
        <v>316</v>
      </c>
    </row>
    <row r="5" spans="1:7" ht="28.8" x14ac:dyDescent="0.3">
      <c r="A5" s="22" t="s">
        <v>323</v>
      </c>
      <c r="B5" s="23" t="s">
        <v>41</v>
      </c>
      <c r="C5" s="23" t="s">
        <v>324</v>
      </c>
      <c r="D5" s="23" t="s">
        <v>325</v>
      </c>
      <c r="E5" s="23" t="s">
        <v>326</v>
      </c>
      <c r="F5" s="23" t="s">
        <v>315</v>
      </c>
      <c r="G5" s="23" t="s">
        <v>316</v>
      </c>
    </row>
    <row r="6" spans="1:7" x14ac:dyDescent="0.3">
      <c r="A6" s="22" t="s">
        <v>327</v>
      </c>
      <c r="B6" s="23" t="s">
        <v>47</v>
      </c>
      <c r="C6" s="23" t="s">
        <v>24</v>
      </c>
      <c r="D6" s="23" t="s">
        <v>328</v>
      </c>
      <c r="E6" s="23" t="s">
        <v>329</v>
      </c>
      <c r="F6" s="23" t="s">
        <v>315</v>
      </c>
      <c r="G6" s="23" t="s">
        <v>316</v>
      </c>
    </row>
    <row r="7" spans="1:7" ht="28.8" x14ac:dyDescent="0.3">
      <c r="A7" s="22" t="s">
        <v>330</v>
      </c>
      <c r="B7" s="23" t="s">
        <v>47</v>
      </c>
      <c r="C7" s="23" t="s">
        <v>24</v>
      </c>
      <c r="D7" s="23" t="s">
        <v>331</v>
      </c>
      <c r="E7" s="23" t="s">
        <v>332</v>
      </c>
      <c r="F7" s="23" t="s">
        <v>315</v>
      </c>
      <c r="G7" s="23" t="s">
        <v>316</v>
      </c>
    </row>
    <row r="8" spans="1:7" ht="28.8" x14ac:dyDescent="0.3">
      <c r="A8" s="22" t="s">
        <v>333</v>
      </c>
      <c r="B8" s="23" t="s">
        <v>54</v>
      </c>
      <c r="C8" s="23" t="s">
        <v>24</v>
      </c>
      <c r="D8" s="23" t="s">
        <v>334</v>
      </c>
      <c r="E8" s="23" t="s">
        <v>335</v>
      </c>
      <c r="F8" s="23" t="s">
        <v>315</v>
      </c>
      <c r="G8" s="23" t="s">
        <v>316</v>
      </c>
    </row>
    <row r="9" spans="1:7" x14ac:dyDescent="0.3">
      <c r="A9" s="22" t="s">
        <v>336</v>
      </c>
      <c r="B9" s="23" t="s">
        <v>54</v>
      </c>
      <c r="C9" s="23" t="s">
        <v>337</v>
      </c>
      <c r="D9" s="23" t="s">
        <v>338</v>
      </c>
      <c r="E9" s="23" t="s">
        <v>339</v>
      </c>
      <c r="F9" s="23" t="s">
        <v>315</v>
      </c>
      <c r="G9" s="23" t="s">
        <v>316</v>
      </c>
    </row>
    <row r="10" spans="1:7" x14ac:dyDescent="0.3">
      <c r="A10" s="22" t="s">
        <v>340</v>
      </c>
      <c r="B10" s="23" t="s">
        <v>60</v>
      </c>
      <c r="C10" s="23" t="s">
        <v>24</v>
      </c>
      <c r="D10" s="23" t="s">
        <v>341</v>
      </c>
      <c r="E10" s="23" t="s">
        <v>342</v>
      </c>
      <c r="F10" s="23" t="s">
        <v>315</v>
      </c>
      <c r="G10" s="23" t="s">
        <v>316</v>
      </c>
    </row>
    <row r="11" spans="1:7" x14ac:dyDescent="0.3">
      <c r="A11" s="22" t="s">
        <v>343</v>
      </c>
      <c r="B11" s="23" t="s">
        <v>60</v>
      </c>
      <c r="C11" s="23" t="s">
        <v>344</v>
      </c>
      <c r="D11" s="23" t="s">
        <v>345</v>
      </c>
      <c r="E11" s="23" t="s">
        <v>346</v>
      </c>
      <c r="F11" s="23" t="s">
        <v>315</v>
      </c>
      <c r="G11" s="23" t="s">
        <v>316</v>
      </c>
    </row>
    <row r="12" spans="1:7" ht="28.8" x14ac:dyDescent="0.3">
      <c r="A12" s="22" t="s">
        <v>71</v>
      </c>
      <c r="B12" s="23" t="s">
        <v>67</v>
      </c>
      <c r="C12" s="23" t="s">
        <v>24</v>
      </c>
      <c r="D12" s="23" t="s">
        <v>347</v>
      </c>
      <c r="E12" s="23" t="s">
        <v>348</v>
      </c>
      <c r="F12" s="23" t="s">
        <v>315</v>
      </c>
      <c r="G12" s="23" t="s">
        <v>316</v>
      </c>
    </row>
    <row r="13" spans="1:7" ht="28.8" x14ac:dyDescent="0.3">
      <c r="A13" s="22" t="s">
        <v>78</v>
      </c>
      <c r="B13" s="23" t="s">
        <v>73</v>
      </c>
      <c r="C13" s="23" t="s">
        <v>24</v>
      </c>
      <c r="D13" s="23" t="s">
        <v>349</v>
      </c>
      <c r="E13" s="23" t="s">
        <v>350</v>
      </c>
      <c r="F13" s="23" t="s">
        <v>315</v>
      </c>
      <c r="G13" s="23" t="s">
        <v>316</v>
      </c>
    </row>
    <row r="14" spans="1:7" ht="28.8" x14ac:dyDescent="0.3">
      <c r="A14" s="22" t="s">
        <v>351</v>
      </c>
      <c r="B14" s="23" t="s">
        <v>80</v>
      </c>
      <c r="C14" s="23" t="s">
        <v>24</v>
      </c>
      <c r="D14" s="23" t="s">
        <v>352</v>
      </c>
      <c r="E14" s="23" t="s">
        <v>353</v>
      </c>
      <c r="F14" s="23" t="s">
        <v>315</v>
      </c>
      <c r="G14" s="23" t="s">
        <v>316</v>
      </c>
    </row>
    <row r="15" spans="1:7" ht="28.8" x14ac:dyDescent="0.3">
      <c r="A15" s="22" t="s">
        <v>354</v>
      </c>
      <c r="B15" s="23" t="s">
        <v>80</v>
      </c>
      <c r="C15" s="23" t="s">
        <v>24</v>
      </c>
      <c r="D15" s="23" t="s">
        <v>355</v>
      </c>
      <c r="E15" s="23" t="s">
        <v>356</v>
      </c>
      <c r="F15" s="23" t="s">
        <v>315</v>
      </c>
      <c r="G15" s="23" t="s">
        <v>316</v>
      </c>
    </row>
    <row r="16" spans="1:7" ht="28.8" x14ac:dyDescent="0.3">
      <c r="A16" s="22" t="s">
        <v>91</v>
      </c>
      <c r="B16" s="23" t="s">
        <v>87</v>
      </c>
      <c r="C16" s="23" t="s">
        <v>24</v>
      </c>
      <c r="D16" s="23" t="s">
        <v>357</v>
      </c>
      <c r="E16" s="23" t="s">
        <v>358</v>
      </c>
      <c r="F16" s="23" t="s">
        <v>315</v>
      </c>
      <c r="G16" s="23" t="s">
        <v>316</v>
      </c>
    </row>
    <row r="17" spans="1:7" x14ac:dyDescent="0.3">
      <c r="A17" s="22" t="s">
        <v>98</v>
      </c>
      <c r="B17" s="23" t="s">
        <v>93</v>
      </c>
      <c r="C17" s="23" t="s">
        <v>337</v>
      </c>
      <c r="D17" s="23" t="s">
        <v>359</v>
      </c>
      <c r="E17" s="23" t="s">
        <v>360</v>
      </c>
      <c r="F17" s="23" t="s">
        <v>315</v>
      </c>
      <c r="G17" s="23" t="s">
        <v>316</v>
      </c>
    </row>
    <row r="18" spans="1:7" x14ac:dyDescent="0.3">
      <c r="A18" s="22" t="s">
        <v>105</v>
      </c>
      <c r="B18" s="23" t="s">
        <v>100</v>
      </c>
      <c r="C18" s="23" t="s">
        <v>361</v>
      </c>
      <c r="D18" s="23" t="s">
        <v>362</v>
      </c>
      <c r="E18" s="23" t="s">
        <v>363</v>
      </c>
      <c r="F18" s="23" t="s">
        <v>315</v>
      </c>
      <c r="G18" s="23" t="s">
        <v>316</v>
      </c>
    </row>
    <row r="19" spans="1:7" ht="28.8" x14ac:dyDescent="0.3">
      <c r="A19" s="22" t="s">
        <v>111</v>
      </c>
      <c r="B19" s="23" t="s">
        <v>107</v>
      </c>
      <c r="C19" s="23" t="s">
        <v>361</v>
      </c>
      <c r="D19" s="23" t="s">
        <v>364</v>
      </c>
      <c r="E19" s="23" t="s">
        <v>365</v>
      </c>
      <c r="F19" s="23" t="s">
        <v>315</v>
      </c>
      <c r="G19" s="23" t="s">
        <v>316</v>
      </c>
    </row>
    <row r="20" spans="1:7" ht="43.2" x14ac:dyDescent="0.3">
      <c r="A20" s="22" t="s">
        <v>119</v>
      </c>
      <c r="B20" s="23" t="s">
        <v>113</v>
      </c>
      <c r="C20" s="23" t="s">
        <v>344</v>
      </c>
      <c r="D20" s="23" t="s">
        <v>366</v>
      </c>
      <c r="E20" s="23" t="s">
        <v>367</v>
      </c>
      <c r="F20" s="23" t="s">
        <v>315</v>
      </c>
      <c r="G20" s="23" t="s">
        <v>316</v>
      </c>
    </row>
    <row r="21" spans="1:7" x14ac:dyDescent="0.3">
      <c r="A21" s="22" t="s">
        <v>368</v>
      </c>
      <c r="B21" s="23" t="s">
        <v>121</v>
      </c>
      <c r="C21" s="23" t="s">
        <v>24</v>
      </c>
      <c r="D21" s="23" t="s">
        <v>369</v>
      </c>
      <c r="E21" s="23" t="s">
        <v>370</v>
      </c>
      <c r="F21" s="23" t="s">
        <v>315</v>
      </c>
      <c r="G21" s="23" t="s">
        <v>316</v>
      </c>
    </row>
    <row r="22" spans="1:7" ht="28.8" x14ac:dyDescent="0.3">
      <c r="A22" s="22" t="s">
        <v>371</v>
      </c>
      <c r="B22" s="23" t="s">
        <v>121</v>
      </c>
      <c r="C22" s="23" t="s">
        <v>344</v>
      </c>
      <c r="D22" s="23" t="s">
        <v>372</v>
      </c>
      <c r="E22" s="23" t="s">
        <v>373</v>
      </c>
      <c r="F22" s="23" t="s">
        <v>315</v>
      </c>
      <c r="G22" s="23" t="s">
        <v>316</v>
      </c>
    </row>
    <row r="23" spans="1:7" ht="28.8" x14ac:dyDescent="0.3">
      <c r="A23" s="22" t="s">
        <v>374</v>
      </c>
      <c r="B23" s="23" t="s">
        <v>127</v>
      </c>
      <c r="C23" s="23" t="s">
        <v>24</v>
      </c>
      <c r="D23" s="23" t="s">
        <v>375</v>
      </c>
      <c r="E23" s="23" t="s">
        <v>376</v>
      </c>
      <c r="F23" s="23" t="s">
        <v>315</v>
      </c>
      <c r="G23" s="23" t="s">
        <v>316</v>
      </c>
    </row>
    <row r="24" spans="1:7" ht="28.8" x14ac:dyDescent="0.3">
      <c r="A24" s="22" t="s">
        <v>377</v>
      </c>
      <c r="B24" s="23" t="s">
        <v>127</v>
      </c>
      <c r="C24" s="23" t="s">
        <v>378</v>
      </c>
      <c r="D24" s="23" t="s">
        <v>379</v>
      </c>
      <c r="E24" s="23" t="s">
        <v>380</v>
      </c>
      <c r="F24" s="23" t="s">
        <v>315</v>
      </c>
      <c r="G24" s="23" t="s">
        <v>316</v>
      </c>
    </row>
    <row r="25" spans="1:7" ht="43.2" x14ac:dyDescent="0.3">
      <c r="A25" s="22" t="s">
        <v>139</v>
      </c>
      <c r="B25" s="23" t="s">
        <v>134</v>
      </c>
      <c r="C25" s="23" t="s">
        <v>381</v>
      </c>
      <c r="D25" s="23" t="s">
        <v>382</v>
      </c>
      <c r="E25" s="23" t="s">
        <v>383</v>
      </c>
      <c r="F25" s="23" t="s">
        <v>315</v>
      </c>
      <c r="G25" s="23" t="s">
        <v>316</v>
      </c>
    </row>
    <row r="26" spans="1:7" ht="28.8" x14ac:dyDescent="0.3">
      <c r="A26" s="22" t="s">
        <v>384</v>
      </c>
      <c r="B26" s="23" t="s">
        <v>141</v>
      </c>
      <c r="C26" s="23" t="s">
        <v>24</v>
      </c>
      <c r="D26" s="23" t="s">
        <v>385</v>
      </c>
      <c r="E26" s="23" t="s">
        <v>386</v>
      </c>
      <c r="F26" s="23" t="s">
        <v>315</v>
      </c>
      <c r="G26" s="23" t="s">
        <v>316</v>
      </c>
    </row>
    <row r="27" spans="1:7" x14ac:dyDescent="0.3">
      <c r="A27" s="22" t="s">
        <v>387</v>
      </c>
      <c r="B27" s="23" t="s">
        <v>141</v>
      </c>
      <c r="C27" s="23" t="s">
        <v>388</v>
      </c>
      <c r="D27" s="23" t="s">
        <v>389</v>
      </c>
      <c r="E27" s="23" t="s">
        <v>390</v>
      </c>
      <c r="F27" s="23" t="s">
        <v>315</v>
      </c>
      <c r="G27" s="23" t="s">
        <v>316</v>
      </c>
    </row>
    <row r="28" spans="1:7" ht="28.8" x14ac:dyDescent="0.3">
      <c r="A28" s="22" t="s">
        <v>149</v>
      </c>
      <c r="B28" s="23" t="s">
        <v>146</v>
      </c>
      <c r="C28" s="23" t="s">
        <v>24</v>
      </c>
      <c r="D28" s="23" t="s">
        <v>391</v>
      </c>
      <c r="E28" s="23" t="s">
        <v>392</v>
      </c>
      <c r="F28" s="23" t="s">
        <v>315</v>
      </c>
      <c r="G28" s="23" t="s">
        <v>316</v>
      </c>
    </row>
    <row r="29" spans="1:7" ht="28.8" x14ac:dyDescent="0.3">
      <c r="A29" s="22" t="s">
        <v>153</v>
      </c>
      <c r="B29" s="23" t="s">
        <v>151</v>
      </c>
      <c r="C29" s="23" t="s">
        <v>24</v>
      </c>
      <c r="D29" s="23" t="s">
        <v>393</v>
      </c>
      <c r="E29" s="23" t="s">
        <v>394</v>
      </c>
      <c r="F29" s="23" t="s">
        <v>315</v>
      </c>
      <c r="G29" s="23" t="s">
        <v>316</v>
      </c>
    </row>
    <row r="30" spans="1:7" ht="28.8" x14ac:dyDescent="0.3">
      <c r="A30" s="22" t="s">
        <v>160</v>
      </c>
      <c r="B30" s="23" t="s">
        <v>155</v>
      </c>
      <c r="C30" s="23" t="s">
        <v>24</v>
      </c>
      <c r="D30" s="23" t="s">
        <v>395</v>
      </c>
      <c r="E30" s="23" t="s">
        <v>396</v>
      </c>
      <c r="F30" s="23" t="s">
        <v>315</v>
      </c>
      <c r="G30" s="23" t="s">
        <v>316</v>
      </c>
    </row>
    <row r="31" spans="1:7" ht="43.2" x14ac:dyDescent="0.3">
      <c r="A31" s="22" t="s">
        <v>165</v>
      </c>
      <c r="B31" s="23" t="s">
        <v>162</v>
      </c>
      <c r="C31" s="23" t="s">
        <v>344</v>
      </c>
      <c r="D31" s="23" t="s">
        <v>397</v>
      </c>
      <c r="E31" s="23" t="s">
        <v>398</v>
      </c>
      <c r="F31" s="23" t="s">
        <v>315</v>
      </c>
      <c r="G31" s="23" t="s">
        <v>316</v>
      </c>
    </row>
    <row r="32" spans="1:7" ht="28.8" x14ac:dyDescent="0.3">
      <c r="A32" s="22" t="s">
        <v>171</v>
      </c>
      <c r="B32" s="23" t="s">
        <v>167</v>
      </c>
      <c r="C32" s="23" t="s">
        <v>24</v>
      </c>
      <c r="D32" s="23" t="s">
        <v>399</v>
      </c>
      <c r="E32" s="23" t="s">
        <v>400</v>
      </c>
      <c r="F32" s="23" t="s">
        <v>315</v>
      </c>
      <c r="G32" s="23" t="s">
        <v>316</v>
      </c>
    </row>
    <row r="33" spans="1:7" ht="28.8" x14ac:dyDescent="0.3">
      <c r="A33" s="22" t="s">
        <v>176</v>
      </c>
      <c r="B33" s="23" t="s">
        <v>173</v>
      </c>
      <c r="C33" s="23" t="s">
        <v>24</v>
      </c>
      <c r="D33" s="23" t="s">
        <v>401</v>
      </c>
      <c r="E33" s="23" t="s">
        <v>402</v>
      </c>
      <c r="F33" s="23" t="s">
        <v>315</v>
      </c>
      <c r="G33" s="23" t="s">
        <v>316</v>
      </c>
    </row>
    <row r="34" spans="1:7" ht="28.8" x14ac:dyDescent="0.3">
      <c r="A34" s="22" t="s">
        <v>182</v>
      </c>
      <c r="B34" s="23" t="s">
        <v>178</v>
      </c>
      <c r="C34" s="23" t="s">
        <v>24</v>
      </c>
      <c r="D34" s="23" t="s">
        <v>403</v>
      </c>
      <c r="E34" s="23" t="s">
        <v>404</v>
      </c>
      <c r="F34" s="23" t="s">
        <v>315</v>
      </c>
      <c r="G34" s="23" t="s">
        <v>316</v>
      </c>
    </row>
    <row r="35" spans="1:7" ht="28.8" x14ac:dyDescent="0.3">
      <c r="A35" s="22" t="s">
        <v>405</v>
      </c>
      <c r="B35" s="23" t="s">
        <v>184</v>
      </c>
      <c r="C35" s="23" t="s">
        <v>324</v>
      </c>
      <c r="D35" s="23" t="s">
        <v>406</v>
      </c>
      <c r="E35" s="23" t="s">
        <v>407</v>
      </c>
      <c r="F35" s="23" t="s">
        <v>315</v>
      </c>
      <c r="G35" s="23" t="s">
        <v>316</v>
      </c>
    </row>
    <row r="36" spans="1:7" x14ac:dyDescent="0.3">
      <c r="A36" s="22" t="s">
        <v>408</v>
      </c>
      <c r="B36" s="23" t="s">
        <v>184</v>
      </c>
      <c r="C36" s="23" t="s">
        <v>337</v>
      </c>
      <c r="D36" s="23" t="s">
        <v>409</v>
      </c>
      <c r="E36" s="23" t="s">
        <v>410</v>
      </c>
      <c r="F36" s="23" t="s">
        <v>315</v>
      </c>
      <c r="G36" s="23" t="s">
        <v>316</v>
      </c>
    </row>
    <row r="37" spans="1:7" ht="28.8" x14ac:dyDescent="0.3">
      <c r="A37" s="22" t="s">
        <v>193</v>
      </c>
      <c r="B37" s="23" t="s">
        <v>190</v>
      </c>
      <c r="C37" s="23" t="s">
        <v>24</v>
      </c>
      <c r="D37" s="23" t="s">
        <v>411</v>
      </c>
      <c r="E37" s="23" t="s">
        <v>412</v>
      </c>
      <c r="F37" s="23" t="s">
        <v>315</v>
      </c>
      <c r="G37" s="23" t="s">
        <v>316</v>
      </c>
    </row>
    <row r="38" spans="1:7" x14ac:dyDescent="0.3">
      <c r="A38" s="22" t="s">
        <v>199</v>
      </c>
      <c r="B38" s="23" t="s">
        <v>195</v>
      </c>
      <c r="C38" s="23" t="s">
        <v>413</v>
      </c>
      <c r="D38" s="23" t="s">
        <v>414</v>
      </c>
      <c r="E38" s="23" t="s">
        <v>415</v>
      </c>
      <c r="F38" s="23" t="s">
        <v>315</v>
      </c>
      <c r="G38" s="23" t="s">
        <v>316</v>
      </c>
    </row>
    <row r="39" spans="1:7" x14ac:dyDescent="0.3">
      <c r="A39" s="22" t="s">
        <v>205</v>
      </c>
      <c r="B39" s="23" t="s">
        <v>201</v>
      </c>
      <c r="C39" s="23" t="s">
        <v>24</v>
      </c>
      <c r="D39" s="23" t="s">
        <v>416</v>
      </c>
      <c r="E39" s="23" t="s">
        <v>417</v>
      </c>
      <c r="F39" s="23" t="s">
        <v>315</v>
      </c>
      <c r="G39" s="23" t="s">
        <v>316</v>
      </c>
    </row>
    <row r="40" spans="1:7" ht="28.8" x14ac:dyDescent="0.3">
      <c r="A40" s="22" t="s">
        <v>211</v>
      </c>
      <c r="B40" s="23" t="s">
        <v>207</v>
      </c>
      <c r="C40" s="23" t="s">
        <v>24</v>
      </c>
      <c r="D40" s="23" t="s">
        <v>418</v>
      </c>
      <c r="E40" s="23" t="s">
        <v>419</v>
      </c>
      <c r="F40" s="23" t="s">
        <v>315</v>
      </c>
      <c r="G40" s="23" t="s">
        <v>316</v>
      </c>
    </row>
    <row r="41" spans="1:7" x14ac:dyDescent="0.3">
      <c r="A41" s="22" t="s">
        <v>218</v>
      </c>
      <c r="B41" s="23" t="s">
        <v>213</v>
      </c>
      <c r="C41" s="23" t="s">
        <v>24</v>
      </c>
      <c r="D41" s="23" t="s">
        <v>420</v>
      </c>
      <c r="E41" s="23" t="s">
        <v>421</v>
      </c>
      <c r="F41" s="23" t="s">
        <v>315</v>
      </c>
      <c r="G41" s="23" t="s">
        <v>316</v>
      </c>
    </row>
    <row r="42" spans="1:7" ht="28.8" x14ac:dyDescent="0.3">
      <c r="A42" s="22" t="s">
        <v>422</v>
      </c>
      <c r="B42" s="23" t="s">
        <v>220</v>
      </c>
      <c r="C42" s="23" t="s">
        <v>24</v>
      </c>
      <c r="D42" s="23" t="s">
        <v>423</v>
      </c>
      <c r="E42" s="23" t="s">
        <v>424</v>
      </c>
      <c r="F42" s="23" t="s">
        <v>315</v>
      </c>
      <c r="G42" s="23" t="s">
        <v>316</v>
      </c>
    </row>
    <row r="43" spans="1:7" x14ac:dyDescent="0.3">
      <c r="A43" s="22" t="s">
        <v>425</v>
      </c>
      <c r="B43" s="23" t="s">
        <v>220</v>
      </c>
      <c r="C43" s="23" t="s">
        <v>324</v>
      </c>
      <c r="D43" s="23" t="s">
        <v>426</v>
      </c>
      <c r="E43" s="23" t="s">
        <v>427</v>
      </c>
      <c r="F43" s="23" t="s">
        <v>315</v>
      </c>
      <c r="G43" s="23" t="s">
        <v>316</v>
      </c>
    </row>
    <row r="44" spans="1:7" x14ac:dyDescent="0.3">
      <c r="A44" s="22" t="s">
        <v>230</v>
      </c>
      <c r="B44" s="23" t="s">
        <v>226</v>
      </c>
      <c r="C44" s="23" t="s">
        <v>428</v>
      </c>
      <c r="D44" s="23" t="s">
        <v>429</v>
      </c>
      <c r="E44" s="23" t="s">
        <v>430</v>
      </c>
      <c r="F44" s="23" t="s">
        <v>315</v>
      </c>
      <c r="G44" s="23" t="s">
        <v>316</v>
      </c>
    </row>
    <row r="45" spans="1:7" x14ac:dyDescent="0.3">
      <c r="A45" s="22" t="s">
        <v>431</v>
      </c>
      <c r="B45" s="23" t="s">
        <v>232</v>
      </c>
      <c r="C45" s="23" t="s">
        <v>432</v>
      </c>
      <c r="D45" s="23" t="s">
        <v>433</v>
      </c>
      <c r="E45" s="23" t="s">
        <v>434</v>
      </c>
      <c r="F45" s="23" t="s">
        <v>315</v>
      </c>
      <c r="G45" s="23" t="s">
        <v>316</v>
      </c>
    </row>
    <row r="46" spans="1:7" ht="28.8" x14ac:dyDescent="0.3">
      <c r="A46" s="22" t="s">
        <v>435</v>
      </c>
      <c r="B46" s="23" t="s">
        <v>232</v>
      </c>
      <c r="C46" s="23" t="s">
        <v>381</v>
      </c>
      <c r="D46" s="23" t="s">
        <v>436</v>
      </c>
      <c r="E46" s="23" t="s">
        <v>437</v>
      </c>
      <c r="F46" s="23" t="s">
        <v>315</v>
      </c>
      <c r="G46" s="23" t="s">
        <v>316</v>
      </c>
    </row>
    <row r="47" spans="1:7" ht="28.8" x14ac:dyDescent="0.3">
      <c r="A47" s="22" t="s">
        <v>242</v>
      </c>
      <c r="B47" s="23" t="s">
        <v>238</v>
      </c>
      <c r="C47" s="23" t="s">
        <v>156</v>
      </c>
      <c r="D47" s="23" t="s">
        <v>438</v>
      </c>
      <c r="E47" s="23" t="s">
        <v>439</v>
      </c>
      <c r="F47" s="23" t="s">
        <v>315</v>
      </c>
      <c r="G47" s="23" t="s">
        <v>316</v>
      </c>
    </row>
    <row r="48" spans="1:7" x14ac:dyDescent="0.3">
      <c r="A48" s="22" t="s">
        <v>247</v>
      </c>
      <c r="B48" s="23" t="s">
        <v>244</v>
      </c>
      <c r="C48" s="23" t="s">
        <v>24</v>
      </c>
      <c r="D48" s="23" t="s">
        <v>440</v>
      </c>
      <c r="E48" s="23" t="s">
        <v>441</v>
      </c>
      <c r="F48" s="23" t="s">
        <v>315</v>
      </c>
      <c r="G48" s="23" t="s">
        <v>316</v>
      </c>
    </row>
    <row r="49" spans="1:7" x14ac:dyDescent="0.3">
      <c r="A49" s="22" t="s">
        <v>252</v>
      </c>
      <c r="B49" s="23" t="s">
        <v>249</v>
      </c>
      <c r="C49" s="23" t="s">
        <v>24</v>
      </c>
      <c r="D49" s="23" t="s">
        <v>442</v>
      </c>
      <c r="E49" s="23" t="s">
        <v>443</v>
      </c>
      <c r="F49" s="23" t="s">
        <v>315</v>
      </c>
      <c r="G49" s="23" t="s">
        <v>316</v>
      </c>
    </row>
    <row r="50" spans="1:7" ht="28.8" x14ac:dyDescent="0.3">
      <c r="A50" s="22" t="s">
        <v>257</v>
      </c>
      <c r="B50" s="23" t="s">
        <v>254</v>
      </c>
      <c r="C50" s="23" t="s">
        <v>444</v>
      </c>
      <c r="D50" s="23" t="s">
        <v>445</v>
      </c>
      <c r="E50" s="23" t="s">
        <v>446</v>
      </c>
      <c r="F50" s="23" t="s">
        <v>315</v>
      </c>
      <c r="G50" s="23" t="s">
        <v>316</v>
      </c>
    </row>
    <row r="51" spans="1:7" ht="28.8" x14ac:dyDescent="0.3">
      <c r="A51" s="22" t="s">
        <v>261</v>
      </c>
      <c r="B51" s="23" t="s">
        <v>259</v>
      </c>
      <c r="C51" s="23" t="s">
        <v>24</v>
      </c>
      <c r="D51" s="23" t="s">
        <v>447</v>
      </c>
      <c r="E51" s="23" t="s">
        <v>448</v>
      </c>
      <c r="F51" s="23" t="s">
        <v>315</v>
      </c>
      <c r="G51" s="23" t="s">
        <v>316</v>
      </c>
    </row>
    <row r="52" spans="1:7" x14ac:dyDescent="0.3">
      <c r="A52" s="22" t="s">
        <v>266</v>
      </c>
      <c r="B52" s="23" t="s">
        <v>263</v>
      </c>
      <c r="C52" s="23" t="s">
        <v>24</v>
      </c>
      <c r="D52" s="23" t="s">
        <v>449</v>
      </c>
      <c r="E52" s="23" t="s">
        <v>450</v>
      </c>
      <c r="F52" s="23" t="s">
        <v>315</v>
      </c>
      <c r="G52" s="23" t="s">
        <v>316</v>
      </c>
    </row>
    <row r="53" spans="1:7" ht="28.8" x14ac:dyDescent="0.3">
      <c r="A53" s="22" t="s">
        <v>270</v>
      </c>
      <c r="B53" s="23" t="s">
        <v>268</v>
      </c>
      <c r="C53" s="23" t="s">
        <v>24</v>
      </c>
      <c r="D53" s="23" t="s">
        <v>451</v>
      </c>
      <c r="E53" s="23" t="s">
        <v>452</v>
      </c>
      <c r="F53" s="23" t="s">
        <v>315</v>
      </c>
      <c r="G53" s="23" t="s">
        <v>316</v>
      </c>
    </row>
    <row r="54" spans="1:7" x14ac:dyDescent="0.3">
      <c r="A54" s="22" t="s">
        <v>275</v>
      </c>
      <c r="B54" s="23" t="s">
        <v>272</v>
      </c>
      <c r="C54" s="23" t="s">
        <v>324</v>
      </c>
      <c r="D54" s="23" t="s">
        <v>453</v>
      </c>
      <c r="E54" s="23" t="s">
        <v>454</v>
      </c>
      <c r="F54" s="23" t="s">
        <v>315</v>
      </c>
      <c r="G54" s="23" t="s">
        <v>316</v>
      </c>
    </row>
    <row r="56" spans="1:7" x14ac:dyDescent="0.3">
      <c r="A56" s="17" t="s">
        <v>455</v>
      </c>
    </row>
  </sheetData>
  <autoFilter ref="A1:G54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2026-10-17T01:10:27Z</dcterms:modified>
</cp:coreProperties>
</file>