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Proyecto_FitLoyalty\.claude\worktrees\avance-requisitos-ca5ff0\docs\"/>
    </mc:Choice>
  </mc:AlternateContent>
  <xr:revisionPtr revIDLastSave="0" documentId="13_ncr:1_{57C26BE2-6673-44F3-8F95-488B0B4EF9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1" r:id="rId1"/>
    <sheet name="RF" sheetId="2" r:id="rId2"/>
    <sheet name="RNF" sheetId="3" r:id="rId3"/>
    <sheet name="Trabajo pendiente" sheetId="4" r:id="rId4"/>
    <sheet name="Evidencias" sheetId="5" r:id="rId5"/>
  </sheets>
  <definedNames>
    <definedName name="_xlnm._FilterDatabase" localSheetId="4" hidden="1">Evidencias!$A$1:$G$51</definedName>
    <definedName name="_xlnm._FilterDatabase" localSheetId="1" hidden="1">RF!$A$1:$J$23</definedName>
    <definedName name="_xlnm._FilterDatabase" localSheetId="2" hidden="1">RNF!$A$1:$J$16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" l="1"/>
  <c r="B21" i="4"/>
  <c r="B20" i="4"/>
  <c r="B19" i="4"/>
  <c r="B18" i="4"/>
  <c r="B17" i="4"/>
  <c r="B16" i="4"/>
  <c r="B15" i="4"/>
  <c r="G14" i="4"/>
  <c r="B14" i="4"/>
  <c r="B13" i="4"/>
  <c r="G12" i="4"/>
  <c r="B12" i="4"/>
  <c r="B11" i="4"/>
  <c r="B10" i="4"/>
  <c r="B9" i="4"/>
  <c r="B8" i="4"/>
  <c r="G7" i="4"/>
  <c r="B7" i="4"/>
  <c r="B6" i="4"/>
  <c r="B5" i="4"/>
  <c r="B4" i="4"/>
  <c r="B3" i="4"/>
  <c r="B2" i="4"/>
  <c r="F16" i="3"/>
  <c r="G2" i="4" s="1"/>
  <c r="F15" i="3"/>
  <c r="F14" i="3"/>
  <c r="F13" i="3"/>
  <c r="F12" i="3"/>
  <c r="F11" i="3"/>
  <c r="G18" i="4" s="1"/>
  <c r="F10" i="3"/>
  <c r="G6" i="4" s="1"/>
  <c r="F9" i="3"/>
  <c r="F8" i="3"/>
  <c r="G17" i="4" s="1"/>
  <c r="F7" i="3"/>
  <c r="G8" i="4" s="1"/>
  <c r="F6" i="3"/>
  <c r="F5" i="3"/>
  <c r="F4" i="3"/>
  <c r="F3" i="3"/>
  <c r="G20" i="4" s="1"/>
  <c r="F2" i="3"/>
  <c r="G13" i="4" s="1"/>
  <c r="F23" i="2"/>
  <c r="G3" i="4" s="1"/>
  <c r="F22" i="2"/>
  <c r="F21" i="2"/>
  <c r="F20" i="2"/>
  <c r="F19" i="2"/>
  <c r="F18" i="2"/>
  <c r="F17" i="2"/>
  <c r="F16" i="2"/>
  <c r="F15" i="2"/>
  <c r="G5" i="4" s="1"/>
  <c r="F14" i="2"/>
  <c r="G4" i="4" s="1"/>
  <c r="F13" i="2"/>
  <c r="G21" i="4" s="1"/>
  <c r="F12" i="2"/>
  <c r="G19" i="4" s="1"/>
  <c r="F11" i="2"/>
  <c r="G22" i="4" s="1"/>
  <c r="F10" i="2"/>
  <c r="F9" i="2"/>
  <c r="G16" i="4" s="1"/>
  <c r="F8" i="2"/>
  <c r="G10" i="4" s="1"/>
  <c r="F7" i="2"/>
  <c r="G11" i="4" s="1"/>
  <c r="F6" i="2"/>
  <c r="F5" i="2"/>
  <c r="G15" i="4" s="1"/>
  <c r="F4" i="2"/>
  <c r="F3" i="2"/>
  <c r="G9" i="4" s="1"/>
  <c r="F2" i="2"/>
  <c r="F32" i="1"/>
  <c r="E32" i="1"/>
  <c r="D32" i="1"/>
  <c r="C32" i="1"/>
  <c r="G32" i="1" s="1"/>
  <c r="F31" i="1"/>
  <c r="F33" i="1" s="1"/>
  <c r="E31" i="1"/>
  <c r="E33" i="1" s="1"/>
  <c r="D31" i="1"/>
  <c r="C31" i="1"/>
  <c r="H8" i="1"/>
  <c r="H7" i="1"/>
  <c r="F7" i="1"/>
  <c r="E7" i="1"/>
  <c r="D7" i="1"/>
  <c r="C7" i="1"/>
  <c r="H6" i="1"/>
  <c r="F6" i="1"/>
  <c r="E6" i="1"/>
  <c r="D6" i="1"/>
  <c r="C6" i="1"/>
  <c r="G31" i="1" l="1"/>
  <c r="D33" i="1"/>
  <c r="E8" i="1"/>
  <c r="K7" i="1" s="1"/>
  <c r="F8" i="1"/>
  <c r="K8" i="1" s="1"/>
  <c r="D8" i="1"/>
  <c r="K6" i="1" s="1"/>
  <c r="G7" i="1"/>
  <c r="I7" i="1" s="1"/>
  <c r="C8" i="1"/>
  <c r="C33" i="1"/>
  <c r="G33" i="1" s="1"/>
  <c r="G6" i="1"/>
  <c r="I6" i="1" s="1"/>
  <c r="G8" i="1" l="1"/>
  <c r="H22" i="4" l="1"/>
  <c r="H6" i="4"/>
  <c r="H11" i="4"/>
  <c r="H16" i="4"/>
  <c r="H21" i="4"/>
  <c r="H5" i="4"/>
  <c r="H10" i="4"/>
  <c r="H17" i="4"/>
  <c r="H15" i="4"/>
  <c r="H4" i="4"/>
  <c r="H9" i="4"/>
  <c r="H20" i="4"/>
  <c r="H3" i="4"/>
  <c r="H14" i="4"/>
  <c r="H12" i="4"/>
  <c r="H19" i="4"/>
  <c r="H8" i="4"/>
  <c r="H13" i="4"/>
  <c r="H18" i="4"/>
  <c r="H2" i="4"/>
  <c r="H7" i="4"/>
  <c r="I8" i="1"/>
</calcChain>
</file>

<file path=xl/sharedStrings.xml><?xml version="1.0" encoding="utf-8"?>
<sst xmlns="http://schemas.openxmlformats.org/spreadsheetml/2006/main" count="861" uniqueCount="436">
  <si>
    <t>FitLoyalty — Seguimiento de requisitos</t>
  </si>
  <si>
    <t>Estado de implementación verificado contra el código el 2026-10-16 (main @ 54b19fa). Todas las cifras son fórmulas sobre las hojas RF y RNF.</t>
  </si>
  <si>
    <t>Tipo</t>
  </si>
  <si>
    <t>Requisitos</t>
  </si>
  <si>
    <t>Implementados</t>
  </si>
  <si>
    <t>Parciales</t>
  </si>
  <si>
    <t>Pendientes</t>
  </si>
  <si>
    <t>Avance</t>
  </si>
  <si>
    <t>Meta</t>
  </si>
  <si>
    <t>Puntos que faltan</t>
  </si>
  <si>
    <t>Estado</t>
  </si>
  <si>
    <t>Cantidad</t>
  </si>
  <si>
    <t>Funcionales</t>
  </si>
  <si>
    <t>Implementado</t>
  </si>
  <si>
    <t>No funcionales</t>
  </si>
  <si>
    <t>Parcial</t>
  </si>
  <si>
    <t>Total</t>
  </si>
  <si>
    <t>Pendiente</t>
  </si>
  <si>
    <t>Escala editable en B36:C38: Implementado = 1, Parcial = 0,5, Pendiente = 0. Cada estado se respalda con la evidencia de las hojas RF, RNF y Evidencias (archivo:línea).</t>
  </si>
  <si>
    <t>Solo alcance original del documento (RQF-01..12, RQNF-01..08)</t>
  </si>
  <si>
    <t>Escala (editable)</t>
  </si>
  <si>
    <t>Criterio acordado con Luis el 2026-10-16: Parcial = lo principal funciona pero falta alguna parte.</t>
  </si>
  <si>
    <t>Meta de avance (editable)</t>
  </si>
  <si>
    <t>Meta del 80 % pedida por Luis para la entrega.</t>
  </si>
  <si>
    <t>Código</t>
  </si>
  <si>
    <t>Módulo / Categoría</t>
  </si>
  <si>
    <t>Evidencia en el proyecto</t>
  </si>
  <si>
    <t>Observaciones / trabajo pendiente</t>
  </si>
  <si>
    <t>Puntaje</t>
  </si>
  <si>
    <t>Origen</t>
  </si>
  <si>
    <t>HU relacionadas</t>
  </si>
  <si>
    <t>Ref. evidencias</t>
  </si>
  <si>
    <t>Descripción del requisito</t>
  </si>
  <si>
    <t>RQF-01</t>
  </si>
  <si>
    <t>Gestión de Usuarios</t>
  </si>
  <si>
    <t>Crear (por invitación), listar personal y revocar invitaciones: staff.js:109, :198, :227, :329; aceptar la invitación crea la cuenta: staff.js:384. Roles diferenciados: authorize('admin') en staff.js:112 y miembros.js:667 frente a authorize('admin', 'receptionist') en checkin.js:57.</t>
  </si>
  <si>
    <t>Editar y eliminar o desactivar cuentas de personal existentes: no hay PUT/DELETE en /api/admin/staff ni acciones en StaffPage.jsx.</t>
  </si>
  <si>
    <t>Original</t>
  </si>
  <si>
    <t>HU-01, HU-02, HU-03, HU-04, HU-53</t>
  </si>
  <si>
    <t>EV-01, EV-02</t>
  </si>
  <si>
    <t>El sistema debe permitir crear, editar, eliminar y consultar cuentas del personal (staff), asignando roles de Administrador o Recepcionista con permisos diferenciados.</t>
  </si>
  <si>
    <t>RQF-02</t>
  </si>
  <si>
    <t>POST /api/auth/login compara con bcrypt y emite JWT (auth.js:200, :231); cierre manual (auth.js:295, AuthContext.jsx:95); límite de 5 intentos por minuto (index.js:63, :79).</t>
  </si>
  <si>
    <t>Cierre automático por inactividad (no existe en frontend ni backend). Hallazgo: el JWT del personal no expira, generarToken no aplica JWT_EXPIRES_IN (auth-helpers.js:102-113).</t>
  </si>
  <si>
    <t>HU-05, HU-06</t>
  </si>
  <si>
    <t>EV-03, EV-04</t>
  </si>
  <si>
    <t>El sistema debe autenticar al personal mediante usuario y contraseña, gestionando sesiones seguras con cierre automático por inactividad.</t>
  </si>
  <si>
    <t>RQF-03</t>
  </si>
  <si>
    <t>Gestión de Miembros</t>
  </si>
  <si>
    <t>POST /api/admin/miembros rechaza documento o correo duplicados (miembros.js:357-369) y genera un código QR único (:371-379); editar con PUT (:607); desactivar con activo = FALSE (:664-675); pantalla MiembrosPage.jsx:627, :919, :442.</t>
  </si>
  <si>
    <t>Observación: al editar no se vuelven a validar duplicados de documento o correo (criterio 2 de HU-09).</t>
  </si>
  <si>
    <t>HU-07, HU-08, HU-09, HU-10, HU-65</t>
  </si>
  <si>
    <t>EV-05, EV-06</t>
  </si>
  <si>
    <t>El sistema debe permitir registrar, editar y desactivar perfiles de miembros con datos personales, de contacto e identificador de hardware (código QR o de barras), validando que no existan duplicados por documento o correo.</t>
  </si>
  <si>
    <t>RQF-04</t>
  </si>
  <si>
    <t>Cálculo automático de fecha_fin según el plan (miembros.js:185, :382); estado vencido / por vencer contra la fecha actual (miembros.js:276-284); renovación del plan (miembros.js:754).</t>
  </si>
  <si>
    <t>Estado Congelada: la tabla congelacion_membresia existe (migración 002:217) pero ninguna ruta ni pantalla la usa.</t>
  </si>
  <si>
    <t>HU-11, HU-12, HU-13, HU-35..HU-40</t>
  </si>
  <si>
    <t>EV-07, EV-08</t>
  </si>
  <si>
    <t>El sistema debe controlar el estado de la membresía de cada miembro (Activa, Vencida, Congelada) y calcular automáticamente la fecha de vencimiento a partir del tipo de membresía y fecha de inicio registrados.</t>
  </si>
  <si>
    <t>RQF-05</t>
  </si>
  <si>
    <t>Check-in y Asistencia</t>
  </si>
  <si>
    <t>Campo con autoFocus que recibe la lectura del lector HID tipo teclado y envía con Enter (CheckinPage.jsx:221-223, :329-331); lectura por cámara (CheckinPage.jsx:66); POST /api/admin/checkin inserta el ingreso (checkin.js:54, :167-172); fecha_hora DEFAULT CURRENT_TIMESTAMP (migración 002:100).</t>
  </si>
  <si>
    <t>—</t>
  </si>
  <si>
    <t>HU-14, HU-32, HU-33, HU-34</t>
  </si>
  <si>
    <t>EV-09, EV-10</t>
  </si>
  <si>
    <t>El sistema debe registrar en tiempo real la entrada de un miembro mediante la lectura pasiva de su código QR o de barras desde un dispositivo HID, almacenando la marca de tiempo exacta del acceso.</t>
  </si>
  <si>
    <t>RQF-06</t>
  </si>
  <si>
    <t>Valida el último plan y responde VENCIDO sin registrar el ingreso (checkin.js:116-136); la pantalla muestra «Acceso denegado» (CheckinPage.jsx:133-143).</t>
  </si>
  <si>
    <t>Notificar al administrador del intento bloqueado: el intento no se guarda y la campana (notificaciones.js:96-108) solo lista membresías vencidas, no accesos denegados.</t>
  </si>
  <si>
    <t>HU-15</t>
  </si>
  <si>
    <t>EV-11</t>
  </si>
  <si>
    <t>El sistema debe validar el estado de la membresía en el momento del check-in, bloquear el acceso si está vencida y notificar al administrador de forma inmediata.</t>
  </si>
  <si>
    <t>RQF-07</t>
  </si>
  <si>
    <t>Dashboard</t>
  </si>
  <si>
    <t>GET /api/admin/dashboard: miembros activos (dashboard.js:123, :146), entradas de hoy (:128) y próximos vencimientos a 30 días (:204); listado en DashboardPage.jsx:446-473.</t>
  </si>
  <si>
    <t>Gráfica de horas pico (la gráfica agrupa por día de la semana, dashboard.js:189) y actualización automática (el panel se carga una sola vez, DashboardPage.jsx:165-179).</t>
  </si>
  <si>
    <t>HU-16, HU-34, HU-41, HU-42, HU-43</t>
  </si>
  <si>
    <t>EV-12</t>
  </si>
  <si>
    <t>El sistema debe mostrar en tiempo real métricas clave del día: total de entradas, miembros activos, gráficas de horas pico y listado de membresías próximas a vencer.</t>
  </si>
  <si>
    <t>RQF-08</t>
  </si>
  <si>
    <t>Alertas de Abandono</t>
  </si>
  <si>
    <t>Lista de miembros sin ingresar en N días calculada al consultar: campana de avisos (notificaciones.js:125-137; umbral del gimnasio, 15 por defecto, :38 y :66), dashboard (dashboard.js:161, :182) y filtro «En riesgo» de miembros (miembros.js:263, MiembrosPage.jsx:939).</t>
  </si>
  <si>
    <t>Ejecución diaria del motor (el scheduler solo programa vencimientos, scheduler.js:46), los dos niveles Amarilla / Roja, registro en alerta_abandono (tabla sin uso) y pantalla para configurar el umbral (el dashboard usa 15 días fijos).</t>
  </si>
  <si>
    <t>HU-17, HU-18, HU-44, HU-64</t>
  </si>
  <si>
    <t>EV-13, EV-14</t>
  </si>
  <si>
    <t>El sistema debe ejecutar diariamente un motor de detección que clasifique a los miembros según umbrales de inactividad configurables (Alerta Amarilla ≥ 7 días, Alerta Roja ≥ 15 días) y los liste en el panel del administrador.</t>
  </si>
  <si>
    <t>RQF-09</t>
  </si>
  <si>
    <t>Botón de WhatsApp con el mensaje armado para miembros en riesgo (MenuNotificaciones.jsx:86-90, MiembrosPage.jsx:796-802); POST /api/admin/notificaciones/enviado guarda canal, estado ENVIADO y fecha en envio_mensaje (notificaciones.js:188-224).</t>
  </si>
  <si>
    <t>Observación: solo WhatsApp por enlace wa.me; el estado no confirma la entrega y el correo no se usa para retención.</t>
  </si>
  <si>
    <t>HU-19, HU-20, HU-52</t>
  </si>
  <si>
    <t>EV-15</t>
  </si>
  <si>
    <t>El sistema debe permitir al administrador enviar mensajes de retención a miembros inactivos a través del canal de comunicación configurado (correo o WhatsApp), registrando la fecha y estado de cada envío.</t>
  </si>
  <si>
    <t>RQF-10</t>
  </si>
  <si>
    <t>Campañas</t>
  </si>
  <si>
    <t>Solo existen las tablas campana, campana_destinatario y plantilla_mensaje (migración 002:171-202); ninguna ruta ni pantalla las usa.</t>
  </si>
  <si>
    <t>Todo el módulo: rutas de API, programación de envíos, segmentos y pantalla.</t>
  </si>
  <si>
    <t>HU-21..HU-24, HU-45, HU-46</t>
  </si>
  <si>
    <t>EV-16</t>
  </si>
  <si>
    <t>El sistema debe permitir crear, programar y ejecutar campañas de mensajes dirigidas a segmentos de miembros definidos (inactivos, nuevos, próximos a vencer), con soporte para plantillas de mensaje reutilizables.</t>
  </si>
  <si>
    <t>RQF-11</t>
  </si>
  <si>
    <t>Gamificación</t>
  </si>
  <si>
    <t>La app del miembro lee hitos y su estado (cliente.js:340-381, gamificacion_screen.dart), pero ningún archivo calcula rachas ni escribe hito_miembro; los datos que existen vienen del script ConsultasDB/Poblar_Tablas.sql:384-419.</t>
  </si>
  <si>
    <t>Cálculo de rachas en cada check-in, otorgar hitos, mensaje en la pantalla de check-in y configuración de hitos por el administrador.</t>
  </si>
  <si>
    <t>HU-25, HU-26, HU-27, HU-47, HU-48</t>
  </si>
  <si>
    <t>EV-17</t>
  </si>
  <si>
    <t>El sistema debe calcular automáticamente las rachas de asistencia de cada miembro y mostrar un mensaje motivacional en la pantalla del check-in al alcanzar un hito configurado por el administrador.</t>
  </si>
  <si>
    <t>RQF-12</t>
  </si>
  <si>
    <t>La app lista los retos activos con el progreso guardado (cliente.js:392-418), pero no hay ruta ni pantalla para crear retos, el check-in no actualiza reto_miembro y no hay aviso al completar; los retos existentes vienen de ConsultasDB/Poblar_Tablas.sql:456-490.</t>
  </si>
  <si>
    <t>CRUD de retos para el administrador, actualización del progreso en cada check-in y notificación al completar.</t>
  </si>
  <si>
    <t>HU-28..HU-31, HU-49, HU-50</t>
  </si>
  <si>
    <t>EV-18</t>
  </si>
  <si>
    <t>El sistema debe permitir al administrador crear retos de asistencia con meta, duración, segmento elegible y recompensa; registrar el progreso de cada miembro inscrito y notificar al administrador y al miembro al completar el reto.</t>
  </si>
  <si>
    <t>RQF-13</t>
  </si>
  <si>
    <t>Contratos</t>
  </si>
  <si>
    <t>POST /api/admin/miembros/:id/contrato/enviar con control de gimnasio (admin-contrato.js:76-92); si el cliente de WhatsApp no está listo, lo informa y registra exito = false (:107-128); vista previa e historial por API (:167, :195); botón «Enviar contrato» (MiembrosPage.jsx:855-880, :1735).</t>
  </si>
  <si>
    <t>Con el cliente listo, un envío que falla queda registrado como exitoso: sendWhatsAppText se traga el error (whatsapp.js:244-246) y el catch de admin-contrato.js:132-138 nunca se ejecuta. Arreglo: relanzar el error en sendWhatsAppText.</t>
  </si>
  <si>
    <t>Nuevo</t>
  </si>
  <si>
    <t>HU-54</t>
  </si>
  <si>
    <t>EV-19</t>
  </si>
  <si>
    <t>El sistema debe permitir al administrador enviar el contrato de membresía al miembro por WhatsApp, informando si el envío no se pudo completar y registrando cada intento como constancia.</t>
  </si>
  <si>
    <t>RQF-14</t>
  </si>
  <si>
    <t>Cron diario a las 9:00 a.m. America/Bogota (scheduler.js:46); selección de planes por vencer y control de duplicados (expiracion.js:43, :74, :94, :117); 0 días desactiva el aviso (expiracion.js:151); POST /api/jobs/expiracion/run y GET /api/jobs/expiracion/preview (jobs.js:27, :38); migraciones 006 y 007.</t>
  </si>
  <si>
    <t>Si WhatsApp no está listo, sendWhatsAppText vuelve sin error (whatsapp.js:228-231) y el job marca el aviso como enviado (expiracion.js:206-207), así que nunca lo reintenta; en Render no hay Chrome (whatsapp.js:7-25). Los días de anticipación (gimnasio.dias_aviso_vencimiento) solo se cambian en la base de datos: PUT /admin/config no los acepta (config.js:20-30).</t>
  </si>
  <si>
    <t>HU-55</t>
  </si>
  <si>
    <t>EV-20, EV-21</t>
  </si>
  <si>
    <t>El sistema debe enviar diariamente por WhatsApp avisos de vencimiento de membresía a los miembros, con una anticipación en días definida por cada gimnasio (3 por defecto) y sin repetir avisos.</t>
  </si>
  <si>
    <t>RQF-15</t>
  </si>
  <si>
    <t>App del miembro</t>
  </si>
  <si>
    <t>POST /api/cliente/login con teléfono y contraseña bcrypt (cliente.js:51, :88) y JWT de 30 días (auth-helpers.js:145); rutas protegidas con requireClient (cliente.js:112); /qr, /membresia, /asistencia, /gamificacion y /retos (cliente.js:227, :259, :292, :340, :392); edición del perfil con PUT /api/cliente/me, que valida el correo único (cliente.js:171-225); app Flutter: login_screen.dart, qr_tab.dart, plan_tab.dart, asistencia_screen.dart, gamificacion_screen.dart, editar_perfil_screen.dart; token en FlutterSecureStorage (api_client.dart:41).</t>
  </si>
  <si>
    <t>Ajuste de redacción: el PR #4 decía «rachas», que no se calculan (ver RQF-11); la app muestra hitos y retos de solo lectura. Absorbe RQF-26 (edición del perfil), que el PR #4 contaba aparte. Sin pruebas automatizadas reales (widget_test.dart es una prueba mínima).</t>
  </si>
  <si>
    <t>HU-57, HU-58, HU-66</t>
  </si>
  <si>
    <t>EV-22, EV-23, EV-24</t>
  </si>
  <si>
    <t>El sistema debe ofrecer una aplicación móvil para el miembro con inicio de sesión, código QR personal, estado de membresía, historial de asistencia, hitos y retos activos, y edición del perfil.</t>
  </si>
  <si>
    <t>RQF-16</t>
  </si>
  <si>
    <t>Suscripción SaaS</t>
  </si>
  <si>
    <t>TRIAL_DAYS = 14 (trial.js:17, render.yaml); el registro fija trial_ends_at (auth.js:126-138); requireActiveTrial responde 402 TRIAL_EXPIRED (trial.js:52-74) en miembros, check-in, dashboard, configuración y personal; GET /api/billing/trial-status (billing.js:19); días restantes en el panel (AdminLayout.jsx:155).</t>
  </si>
  <si>
    <t>Ajuste: el PR #4 lo ponía en el módulo «Facturación», pero el sistema no cobra; se añadió el bloqueo al vencer, que sí existe. Observación: el campo «días de prueba» de ConfigPage.jsx:243-244 no tiene efecto (el trial usa TRIAL_DAYS). Comentarios desactualizados dicen 7 días (auth.js:6, :98; trial.js:7).</t>
  </si>
  <si>
    <t>HU-56</t>
  </si>
  <si>
    <t>EV-25</t>
  </si>
  <si>
    <t>El sistema debe ofrecer una prueba gratuita de 14 días, mostrar su estado al administrador y bloquear las operaciones del gimnasio cuando la prueba vence.</t>
  </si>
  <si>
    <t>RQF-17</t>
  </si>
  <si>
    <t>POST /api/auth/forgot-password genera un código de 6 dígitos con vigencia de 15 minutos y lo envía (auth.js:304-340, email.js:289); POST /verify-reset-code (auth.js:360) y POST /reset-password con bcrypt (auth.js:399, :447); pantalla ForgotPasswordPage.jsx:121, :143, :161; límite de 3 solicitudes por minuto solo en forgot-password (index.js:68, :80).</t>
  </si>
  <si>
    <t>Riesgo de seguridad: si el correo no sale (o con SHOW_DEV_CODE_IN_UI=true), la API devuelve el código en la respuesta (auth.js:337-346), así que cualquiera que sepa el correo de un usuario puede cambiarle la contraseña; además verify-reset-code y reset-password no tienen límite de intentos (ver RQNF-09).</t>
  </si>
  <si>
    <t>HU-59</t>
  </si>
  <si>
    <t>EV-26, EV-27</t>
  </si>
  <si>
    <t>El sistema debe permitir recuperar la contraseña del personal mediante un código enviado al correo electrónico.</t>
  </si>
  <si>
    <t>RQF-18</t>
  </si>
  <si>
    <t>GET /api/admin/dashboard/export arma un CSV RFC 4180 de miembros activos con su plan (dashboard.js:288-337, helpers :31-50); el panel lo descarga (DashboardPage.jsx:193-203).</t>
  </si>
  <si>
    <t>HU-60</t>
  </si>
  <si>
    <t>EV-28</t>
  </si>
  <si>
    <t>El sistema debe permitir exportar a CSV el listado de miembros activos con su membresía.</t>
  </si>
  <si>
    <t>RQF-19</t>
  </si>
  <si>
    <t>POST /api/auth/signup crea el gimnasio y la cuenta del administrador dueño en una transacción (auth.js:100-190, INSERT en :134 y COMMIT en :162); pantalla RegisterOwnerPage.jsx (ruta /register-owner, App.jsx:38).</t>
  </si>
  <si>
    <t>EV-29</t>
  </si>
  <si>
    <t>El sistema debe permitir registrar un gimnasio junto con la cuenta de su propietario.</t>
  </si>
  <si>
    <t>RQF-20</t>
  </si>
  <si>
    <t>Configuración</t>
  </si>
  <si>
    <t>GET y PUT /api/admin/config con precios por tipo de plan, recordatorio_cobro_activo y dias_recordatorio_default (config.js:20-30, :41, :77); pantalla ConfigPage.jsx:26, :44; los avisos de cobro lo usan (notificaciones.js:44-67).</t>
  </si>
  <si>
    <t>Ajuste de redacción: el PR #4 decía «los planes»; no hay catálogo editable de planes, sino precios para tipos de plan fijos.</t>
  </si>
  <si>
    <t>HU-61</t>
  </si>
  <si>
    <t>EV-30</t>
  </si>
  <si>
    <t>El sistema debe permitir configurar por gimnasio el precio de cada tipo de plan y los recordatorios de cobro.</t>
  </si>
  <si>
    <t>RQF-21</t>
  </si>
  <si>
    <t>Esquema de alta con valor_total, valor_pagado, metodo_pago y estado_pago (miembros.js:88-95); inserción en plan_cobro (miembros.js:439-450, migración 004); edición del plan (miembros.js:754); validaciones en MiembrosPage.jsx:349-350.</t>
  </si>
  <si>
    <t>Ajuste de redacción: se acotó al pago, porque el plan y su vigencia ya están en RQF-04.</t>
  </si>
  <si>
    <t>HU-62</t>
  </si>
  <si>
    <t>EV-31</t>
  </si>
  <si>
    <t>El sistema debe registrar por miembro el valor total y pagado, el método y el estado del pago de su plan.</t>
  </si>
  <si>
    <t>RQF-22</t>
  </si>
  <si>
    <t>Cumplimiento</t>
  </si>
  <si>
    <t>DELETE /api/auth/account (auth.js:480-561) borra en una transacción con safe(), que solo ignora el código 42P01 y no usa SAVEPOINT (auth.js:496-502). En PostgreSQL cualquier error, incluso el ignorado, aborta la transacción: con las migraciones falla en DELETE FROM auditoria (ninguna migración crea esa tabla) y con el esquema de ConsultasDB el INSERT en auditoria viola la llave foránea hacia el usuario borrado. En los dos casos el gimnasio queda intacto y la API responde 500. Probado en PostgreSQL 18 en el informe del verificador (70dd13c, sección 11.2.1).</t>
  </si>
  <si>
    <t>Un SAVEPOINT por cada safe() (o quitar las tablas que no existen) y no insertar en auditoria filas que apunten al usuario y al gimnasio que se borran. Si se corrige y se prueba, puede volver a Implementado. El PR #4 y mi versión anterior lo daban por Implementado leyendo solo el código.</t>
  </si>
  <si>
    <t>HU-63</t>
  </si>
  <si>
    <t>EV-32, EV-33</t>
  </si>
  <si>
    <t>El sistema debe permitir al propietario eliminar su cuenta y los datos asociados del gimnasio.</t>
  </si>
  <si>
    <t>RQNF-01</t>
  </si>
  <si>
    <t>Rendimiento</t>
  </si>
  <si>
    <t>No hay medición registrada.</t>
  </si>
  <si>
    <t>Primero corregir la búsqueda del QR (paso 11 de «Trabajo pendiente»): si el QR no coincide directo, checkin.js:83-101 descifra en memoria los QR de todos los miembros del gimnasio. Después, medir el check-in con un volumen realista (unos 200 miembros) y registrar el tiempo de respuesta de POST /api/admin/checkin.</t>
  </si>
  <si>
    <t>EV-34</t>
  </si>
  <si>
    <t>El sistema debe procesar y confirmar cada registro de check-in en un tiempo máximo de 2 segundos desde la lectura del dispositivo HID.</t>
  </si>
  <si>
    <t>RQNF-02</t>
  </si>
  <si>
    <t>Disponibilidad</t>
  </si>
  <si>
    <t>Existen /api/healthz y /api/health (index.js:101, :103), pero no hay monitoreo ni reporte de disponibilidad.</t>
  </si>
  <si>
    <t>Monitor externo sobre /api/healthz con reporte del período; el plan gratuito de Render suspende el servicio por inactividad (scheduler.js:9-10).</t>
  </si>
  <si>
    <t>EV-35</t>
  </si>
  <si>
    <t>El sistema debe garantizar una disponibilidad mínima del 99% durante el horario operativo del gimnasio (lunes a domingo, 5:00 a.m. – 10:00 p.m.).</t>
  </si>
  <si>
    <t>RQNF-03</t>
  </si>
  <si>
    <t>Seguridad</t>
  </si>
  <si>
    <t>bcrypt.hash / compare en registro, login, restablecimiento e invitación (auth.js:145, :231, :447; staff.js:431) y para miembros (miembros.js:388, :625; cliente.js:88); API de producción por HTTPS (frontend/src/api.js:26) y frontend en Vercel con HTTPS.</t>
  </si>
  <si>
    <t>Observación: la clave de cifrado del QR tiene un valor por defecto en el código (miembros.js:36, checkin.js:19).</t>
  </si>
  <si>
    <t>EV-36</t>
  </si>
  <si>
    <t>El sistema debe almacenar las contraseñas del personal utilizando cifrado hash (bcrypt o equivalente) y todas las comunicaciones deben realizarse bajo protocolo HTTPS.</t>
  </si>
  <si>
    <t>RQNF-04</t>
  </si>
  <si>
    <t>Usabilidad</t>
  </si>
  <si>
    <t>Registro manual en 2 interacciones: escribir el documento y pulsar «Registrar» (CheckinPage.jsx:333, :341-347); el código QR se envía con Enter (CheckinPage.jsx:221-223).</t>
  </si>
  <si>
    <t>Prueba de usabilidad documentada con personal sin formación técnica (p. ej. 3 personas, conteo de interacciones y tiempo).</t>
  </si>
  <si>
    <t>HU-32</t>
  </si>
  <si>
    <t>EV-37</t>
  </si>
  <si>
    <t>La interfaz del módulo de check-in debe ser operable por personal sin formación técnica, con un flujo de no más de 2 interacciones para registrar una entrada de forma manual.</t>
  </si>
  <si>
    <t>RQNF-05</t>
  </si>
  <si>
    <t>Escalabilidad</t>
  </si>
  <si>
    <t>Cada gimnasio nuevo se crea por registro, sin tocar código (auth.js:100, :134); casi todas las consultas filtran por el id_gimnasio del token (p. ej. miembros.js:358, checkin.js:76, dashboard.js:123, notificaciones.js:199; admin-contrato.js:92).</t>
  </si>
  <si>
    <t>GET /api/vista/miembros-activos no filtra por gimnasio (vista.js:27-42) y rompe el aislamiento entre gimnasios. No hay prueba de carga que respalde «sin degradación del rendimiento».</t>
  </si>
  <si>
    <t>EV-38, EV-39</t>
  </si>
  <si>
    <t>La arquitectura SaaS debe soportar el registro de múltiples gimnasios (multitenancy) sin degradación del rendimiento, permitiendo incorporar nuevos establecimientos sin modificaciones en el código base.</t>
  </si>
  <si>
    <t>RQNF-06</t>
  </si>
  <si>
    <t>Compatibilidad</t>
  </si>
  <si>
    <t>Aplicación web React / Vite servida por Vercel que solo requiere navegador (frontend/package.json, vercel.json); QA responsive a 375 px (Evidencias_Sustentacion/QA_Responsive_375px.md).</t>
  </si>
  <si>
    <t>Prueba documentada en Chrome, Firefox y Edge (lista de verificación de las pantallas principales con capturas).</t>
  </si>
  <si>
    <t>EV-40</t>
  </si>
  <si>
    <t>El sistema debe funcionar correctamente en los navegadores Chrome, Firefox y Edge en sus dos últimas versiones mayores, sin requerir instalación de software adicional en el cliente.</t>
  </si>
  <si>
    <t>RQNF-07</t>
  </si>
  <si>
    <t>Mantenibilidad</t>
  </si>
  <si>
    <t>Capas en backend/src (routes, lib, middleware, jobs, db) y diagrama de arquitectura en el documento (sección 8). Cobertura medida el 2026-10-16: 0 % en routes/checkin.js y routes/notificaciones.js, 1,48 % de líneas en todo el backend; 23 pruebas, 2 fallan.</t>
  </si>
  <si>
    <t>Script «test» en backend/package.json, pruebas de check-in y alertas hasta ≥ 70 % y corregir las 2 pruebas que fallan.</t>
  </si>
  <si>
    <t>EV-41, EV-42</t>
  </si>
  <si>
    <t>El código fuente debe seguir una arquitectura en capas documentada, con una cobertura mínima de pruebas unitarias del 70% sobre los módulos de check-in y alertas de abandono.</t>
  </si>
  <si>
    <t>RQNF-08</t>
  </si>
  <si>
    <t>Portabilidad</t>
  </si>
  <si>
    <t>backend/Dockerfile (node:24-alpine, multietapa), frontend/Dockerfile + nginx.conf y docker-compose.yml; despliegue en la nube en Render y Vercel (render.yaml, vercel.json).</t>
  </si>
  <si>
    <t>Observación: no se verificó la construcción de la imagen (Docker Desktop apagado) y Render usa el entorno Node nativo, no el contenedor. Sugerencia: agregar docker build al CI.</t>
  </si>
  <si>
    <t>EV-43</t>
  </si>
  <si>
    <t>El sistema debe poder desplegarse en servicios de nube (AWS, Railway, Render o equivalentes) mediante contenedores Docker, sin dependencia de infraestructura física local.</t>
  </si>
  <si>
    <t>RQNF-09</t>
  </si>
  <si>
    <t>express-rate-limit: inicio de sesión 5 por minuto, recuperación de contraseña 3 por minuto y login de la app 10 por minuto (index.js:63-77, :79-80, :94); trust proxy para tomar la IP real detrás de Render (index.js:43).</t>
  </si>
  <si>
    <t>verify-reset-code (auth.js:360) y reset-password (auth.js:399) no tienen límite: el código de 6 dígitos se puede probar sin límite durante sus 15 minutos de vida.</t>
  </si>
  <si>
    <t>EV-44</t>
  </si>
  <si>
    <t>El sistema debe limitar la tasa de intentos en los endpoints de inicio de sesión, recuperación de contraseña e inicio de sesión de la app del miembro.</t>
  </si>
  <si>
    <t>RQNF-10</t>
  </si>
  <si>
    <t>applyMigrations lee backend/migrations en orden, aplica solo las pendientes y las registra en schema_migrations (migrate.js:15-56); se ejecuta al arrancar (index.js:128-132). Migraciones 002 a 008 en backend/migrations.</t>
  </si>
  <si>
    <t>Una base creada solo con backend/migrations no tiene vista_miembros_activos ni auditoria, y reto tiene meta en lugar de meta_asistencias (002_esquema_inicial.sql:278-290); el esquema de producción salió de ConsultasDB/ y de cambios manuales. Probado en el informe del verificador (70dd13c, sección 11.2.1). Además hay prefijos repetidos (004 y 005) y backend/src/db/migrations/001_invitacion_staff.sql no se aplica.</t>
  </si>
  <si>
    <t>EV-45</t>
  </si>
  <si>
    <t>El esquema de la base de datos debe evolucionar mediante migraciones versionadas aplicadas automáticamente al iniciar el servicio.</t>
  </si>
  <si>
    <t>RQNF-11</t>
  </si>
  <si>
    <t>.github/workflows/ci.yml corre en pull_request y en push a main (:3-6): el job rama valida el nombre de la rama en cada PR (:13-26), backend npm ci + node --check (:42-44) y frontend npm ci + build (:58-59); ejecución exitosa en main 8acab31 (pestaña Actions).</t>
  </si>
  <si>
    <t>Observación: el CI todavía no corre pruebas ni mide cobertura.</t>
  </si>
  <si>
    <t>EV-46</t>
  </si>
  <si>
    <t>El repositorio debe ejecutar integración continua en cada pull request y en cada cambio de la rama principal: nombre de la rama, instalación limpia de dependencias, comprobación de sintaxis del backend y compilación del frontend.</t>
  </si>
  <si>
    <t>RQNF-12</t>
  </si>
  <si>
    <t>Rutas públicas /legal/terminos, /legal/privacidad y /legal/datos (App.jsx:43-45) con TerminosPage.jsx, PrivacidadPage.jsx y PoliticaDatosPage.jsx.</t>
  </si>
  <si>
    <t>EV-47</t>
  </si>
  <si>
    <t>El sistema debe publicar los términos de uso, la política de privacidad y la política de tratamiento de datos personales.</t>
  </si>
  <si>
    <t>RQNF-13</t>
  </si>
  <si>
    <t>Observabilidad</t>
  </si>
  <si>
    <t>/api/healthz responde estado y uptime (index.js:101); /api/health comprueba la base de datos y responde 503 si no hay conexión (index.js:103-110).</t>
  </si>
  <si>
    <t>EV-48</t>
  </si>
  <si>
    <t>El sistema debe exponer un endpoint de verificación de salud para el monitoreo del servicio.</t>
  </si>
  <si>
    <t>RQNF-14</t>
  </si>
  <si>
    <t>Manejador central y 404 JSON (middleware/errorHandler.js:17, :24-49) registrados al final de la app (index.js:113-117); AppError con código y estado (lib/errors.js) y asyncHandler para rutas async (lib/asyncHandler.js).</t>
  </si>
  <si>
    <t>EV-49</t>
  </si>
  <si>
    <t>El sistema debe manejar los errores de forma centralizada, devolviendo respuestas consistentes.</t>
  </si>
  <si>
    <t>RQNF-15</t>
  </si>
  <si>
    <t>La configuración de CORS lee FRONTEND_URL (index.js:45-48), pero el callback devuelve permitido también para orígenes que no están en la lista (index.js:54), con credentials: true.</t>
  </si>
  <si>
    <t>Rechazar los orígenes que no estén en FRONTEND_URL (cambiar index.js:54). El PR #4 lo marcaba Implementado.</t>
  </si>
  <si>
    <t>EV-50</t>
  </si>
  <si>
    <t>El sistema debe restringir las solicitudes entre orígenes (CORS) a los dominios configurados.</t>
  </si>
  <si>
    <t>Acción propuesta</t>
  </si>
  <si>
    <t>Responsable</t>
  </si>
  <si>
    <t>Esfuerzo</t>
  </si>
  <si>
    <t>Puntos que suma</t>
  </si>
  <si>
    <t>Avance global acumulado</t>
  </si>
  <si>
    <t>Rechazar en CORS los orígenes que no estén en FRONTEND_URL (index.js:54)</t>
  </si>
  <si>
    <t>Santiago</t>
  </si>
  <si>
    <t>Bajo</t>
  </si>
  <si>
    <t>Un SAVEPOINT por cada safe() y no insertar en auditoria lo que se borra; probar la eliminación</t>
  </si>
  <si>
    <t>Relanzar el error en sendWhatsAppText para que un envío fallido no quede como exitoso</t>
  </si>
  <si>
    <t>No marcar el aviso como enviado si WhatsApp no está listo (reintentar) y llevar los días a Configuración</t>
  </si>
  <si>
    <t>Límite de intentos en verify-reset-code y reset-password</t>
  </si>
  <si>
    <t>Prueba de usabilidad del check-in manual con 3 personas sin formación técnica</t>
  </si>
  <si>
    <t>Luis</t>
  </si>
  <si>
    <t>Lista de verificación con capturas en Chrome, Firefox y Edge</t>
  </si>
  <si>
    <t>Cierre de sesión por inactividad en el frontend y expiración real del JWT</t>
  </si>
  <si>
    <t>Gráfica de horas pico y refresco automático del dashboard</t>
  </si>
  <si>
    <t>Registrar el acceso bloqueado y mostrarlo en la campana del administrador</t>
  </si>
  <si>
    <t>Cerrar la fuga de vista.js, exigir rol de personal en /api/asistencia y quitar scryptSync del recorrido del check-in</t>
  </si>
  <si>
    <t>Medio</t>
  </si>
  <si>
    <t>Con la búsqueda del QR ya corregida (paso anterior), medir el check-in con un volumen realista (unos 200 miembros)</t>
  </si>
  <si>
    <t>Luis o Santiago</t>
  </si>
  <si>
    <t>Editar y desactivar cuentas del personal</t>
  </si>
  <si>
    <t>Congelar y descongelar membresías</t>
  </si>
  <si>
    <t>Motor diario con Alerta Amarilla / Roja y umbrales editables</t>
  </si>
  <si>
    <t>Script test, pruebas de check-in y alertas hasta ≥ 70 % de cobertura</t>
  </si>
  <si>
    <t>Migración que cree vista_miembros_activos, auditoria y las columnas que usa el código</t>
  </si>
  <si>
    <t>Cálculo de rachas, hitos y mensaje en el check-in</t>
  </si>
  <si>
    <t>Monitor externo de disponibilidad con reporte (depende del plan de Render)</t>
  </si>
  <si>
    <t>CRUD de retos, progreso automático y aviso al completar</t>
  </si>
  <si>
    <t>Alto</t>
  </si>
  <si>
    <t>Módulo de campañas y plantillas</t>
  </si>
  <si>
    <t>Orden de menor a mayor esfuerzo. «Avance global acumulado» suma los puntos de cada acción, en orden, sobre el avance actual y se pone verde al llegar a la meta. Lo decide Luis; las implementaciones las hace Santiago.</t>
  </si>
  <si>
    <t>ID</t>
  </si>
  <si>
    <t>Requisito</t>
  </si>
  <si>
    <t>Ubicación (archivo:línea, endpoint o enlace)</t>
  </si>
  <si>
    <t>Qué demuestra</t>
  </si>
  <si>
    <t>Fecha de verificación</t>
  </si>
  <si>
    <t>Verificado por</t>
  </si>
  <si>
    <t>EV-01</t>
  </si>
  <si>
    <t>backend/src/routes/staff.js:109, :198, :227, :329, :384</t>
  </si>
  <si>
    <t>Invitar, listar y revocar personal; aceptar la invitación crea la cuenta.</t>
  </si>
  <si>
    <t>2026-10-16</t>
  </si>
  <si>
    <t>Agente ejecutor (Claude)</t>
  </si>
  <si>
    <t>EV-02</t>
  </si>
  <si>
    <t>backend/src/routes/staff.js:112; miembros.js:667; checkin.js:57; middleware/auth.js:29</t>
  </si>
  <si>
    <t>Permisos distintos para Administrador y Recepcionista.</t>
  </si>
  <si>
    <t>EV-03</t>
  </si>
  <si>
    <t>backend/src/routes/auth.js:200, :231, :295; frontend/src/context/AuthContext.jsx:95</t>
  </si>
  <si>
    <t>Login con bcrypt + JWT y cierre de sesión manual.</t>
  </si>
  <si>
    <t>EV-04</t>
  </si>
  <si>
    <t>Código (hallazgo)</t>
  </si>
  <si>
    <t>backend/src/lib/auth-helpers.js:102-113</t>
  </si>
  <si>
    <t>generarToken no aplica JWT_EXPIRES_IN: el token del personal no expira.</t>
  </si>
  <si>
    <t>EV-05</t>
  </si>
  <si>
    <t>backend/src/routes/miembros.js:357-369, :371-379</t>
  </si>
  <si>
    <t>Rechazo de documento / correo duplicado y QR único.</t>
  </si>
  <si>
    <t>EV-06</t>
  </si>
  <si>
    <t>backend/src/routes/miembros.js:607, :664-675; frontend/src/pages/MiembrosPage.jsx:627, :919, :442</t>
  </si>
  <si>
    <t>Editar y desactivar (soft delete) desde la pantalla de miembros.</t>
  </si>
  <si>
    <t>EV-07</t>
  </si>
  <si>
    <t>backend/src/routes/miembros.js:185, :382, :276-284, :754</t>
  </si>
  <si>
    <t>Fecha de vencimiento automática, estado vencido / por vencer y renovación.</t>
  </si>
  <si>
    <t>EV-08</t>
  </si>
  <si>
    <t>Esquema</t>
  </si>
  <si>
    <t>backend/migrations/002_esquema_inicial.sql:217</t>
  </si>
  <si>
    <t>congelacion_membresia existe pero no se usa (falta Congelada).</t>
  </si>
  <si>
    <t>EV-09</t>
  </si>
  <si>
    <t>frontend/src/pages/CheckinPage.jsx:66, :221-223, :329-331</t>
  </si>
  <si>
    <t>Lectura HID tipo teclado (autoFocus + Enter) y por cámara.</t>
  </si>
  <si>
    <t>EV-10</t>
  </si>
  <si>
    <t>Código / esquema</t>
  </si>
  <si>
    <t>backend/src/routes/checkin.js:54, :167-172; backend/migrations/002_esquema_inicial.sql:100</t>
  </si>
  <si>
    <t>Inserción del ingreso con marca de tiempo automática.</t>
  </si>
  <si>
    <t>backend/src/routes/checkin.js:116-136; frontend/src/pages/CheckinPage.jsx:133-143</t>
  </si>
  <si>
    <t>Bloqueo de membresía vencida; no hay aviso del intento al administrador.</t>
  </si>
  <si>
    <t>backend/src/routes/dashboard.js:123, :128, :146, :189, :204; frontend/src/pages/DashboardPage.jsx:165-179, :446-473</t>
  </si>
  <si>
    <t>KPIs del día y próximos vencimientos; gráfica por día de semana; carga única.</t>
  </si>
  <si>
    <t>EV-13</t>
  </si>
  <si>
    <t>backend/src/routes/notificaciones.js:38, :66, :125-137; dashboard.js:161, :182; miembros.js:263</t>
  </si>
  <si>
    <t>Lista de miembros en riesgo calculada al consultar, un solo umbral.</t>
  </si>
  <si>
    <t>EV-14</t>
  </si>
  <si>
    <t>backend/src/jobs/scheduler.js:46</t>
  </si>
  <si>
    <t>El único cron programado es el de vencimientos (no hay motor de abandono).</t>
  </si>
  <si>
    <t>frontend/src/components/MenuNotificaciones.jsx:86-90; MiembrosPage.jsx:796-802; backend/src/routes/notificaciones.js:188-224</t>
  </si>
  <si>
    <t>Envío por WhatsApp y registro en envio_mensaje con fecha y estado.</t>
  </si>
  <si>
    <t>backend/migrations/002_esquema_inicial.sql:171-202</t>
  </si>
  <si>
    <t>Tablas de campañas y plantillas sin rutas ni pantalla.</t>
  </si>
  <si>
    <t>Código / datos</t>
  </si>
  <si>
    <t>backend/src/routes/cliente.js:340-381; ConsultasDB/Poblar_Tablas.sql:384-419</t>
  </si>
  <si>
    <t>Hitos solo de lectura, cargados por SQL; no hay cálculo de rachas.</t>
  </si>
  <si>
    <t>backend/src/routes/cliente.js:392-418; ConsultasDB/Poblar_Tablas.sql:456-490</t>
  </si>
  <si>
    <t>Retos solo de lectura, cargados por SQL; sin CRUD ni progreso automático.</t>
  </si>
  <si>
    <t>backend/src/routes/admin-contrato.js:76-160, :167, :195; backend/migrations/008_contrato_enviado.sql; frontend/src/pages/MiembrosPage.jsx:855-880</t>
  </si>
  <si>
    <t>Envío del contrato por WhatsApp con registro de cada intento.</t>
  </si>
  <si>
    <t>EV-20</t>
  </si>
  <si>
    <t>backend/src/jobs/scheduler.js:46; backend/src/jobs/expiracion.js:43, :74, :94, :117, :151</t>
  </si>
  <si>
    <t>Aviso diario automático de vencimiento, sin duplicados.</t>
  </si>
  <si>
    <t>EV-21</t>
  </si>
  <si>
    <t>backend/src/routes/jobs.js:27, :38; backend/migrations/006_gimnasio_dias_aviso.sql; 007_alerta_vencimiento_enviada.sql</t>
  </si>
  <si>
    <t>Ejecución manual y vista previa; días de aviso y anti-duplicado en BD.</t>
  </si>
  <si>
    <t>EV-22</t>
  </si>
  <si>
    <t>backend/src/routes/cliente.js:51, :88, :112, :227, :259, :292, :340, :392; backend/src/lib/auth-helpers.js:145</t>
  </si>
  <si>
    <t>API de la app: login del miembro y consultas protegidas.</t>
  </si>
  <si>
    <t>EV-23</t>
  </si>
  <si>
    <t>Código (Flutter)</t>
  </si>
  <si>
    <t>fitloyalty_cliente/lib/cliente/screens/login_screen.dart, qr_tab.dart, plan_tab.dart, asistencia_screen.dart, gamificacion_screen.dart; services/api_client.dart:41</t>
  </si>
  <si>
    <t>Pantallas de la app móvil y almacenamiento seguro del token.</t>
  </si>
  <si>
    <t>EV-24</t>
  </si>
  <si>
    <t>backend/src/routes/cliente.js:171-225; fitloyalty_cliente/lib/cliente/screens/editar_perfil_screen.dart; services/perfil_service.dart</t>
  </si>
  <si>
    <t>Edición del perfil desde la app (antes RQF-26).</t>
  </si>
  <si>
    <t>Código / configuración</t>
  </si>
  <si>
    <t>backend/src/lib/trial.js:17, :52-74; backend/src/routes/billing.js:19; backend/src/routes/auth.js:126-138; render.yaml; frontend/src/components/AdminLayout.jsx:155</t>
  </si>
  <si>
    <t>Prueba de 14 días, estado visible y bloqueo 402 al vencer.</t>
  </si>
  <si>
    <t>EV-26</t>
  </si>
  <si>
    <t>backend/src/routes/auth.js:304, :360, :399, :447; backend/src/lib/email.js:289; frontend/src/pages/ForgotPasswordPage.jsx:121, :143, :161</t>
  </si>
  <si>
    <t>Recuperación de contraseña con código por correo.</t>
  </si>
  <si>
    <t>EV-27</t>
  </si>
  <si>
    <t>backend/src/routes/auth.js:337-346</t>
  </si>
  <si>
    <t>El código se devuelve en la respuesta si el correo no sale.</t>
  </si>
  <si>
    <t>backend/src/routes/dashboard.js:31-50, :288-337; frontend/src/pages/DashboardPage.jsx:193-203</t>
  </si>
  <si>
    <t>Exportación CSV de miembros activos con su membresía.</t>
  </si>
  <si>
    <t>backend/src/routes/auth.js:100-190; frontend/src/pages/RegisterOwnerPage.jsx; frontend/src/App.jsx:38</t>
  </si>
  <si>
    <t>Registro del gimnasio y de su administrador.</t>
  </si>
  <si>
    <t>backend/src/routes/config.js:20-30, :41, :77; frontend/src/pages/ConfigPage.jsx:26, :44; backend/src/routes/notificaciones.js:44-67</t>
  </si>
  <si>
    <t>Configuración de precios y recordatorios por gimnasio.</t>
  </si>
  <si>
    <t>backend/src/routes/miembros.js:88-95, :439-450, :754; backend/migrations/004_extender_miembro_cobros.sql:54; frontend/src/pages/MiembrosPage.jsx:207-208, :349-350</t>
  </si>
  <si>
    <t>Registro del plan y del pago por miembro.</t>
  </si>
  <si>
    <t>EV-32</t>
  </si>
  <si>
    <t>backend/src/routes/auth.js:480-561 (safe() en :496-502); frontend/src/pages/EliminarCuentaPage.jsx:22</t>
  </si>
  <si>
    <t>Flujo de eliminación; safe() sin SAVEPOINT.</t>
  </si>
  <si>
    <t>EV-33</t>
  </si>
  <si>
    <t>Prueba (verificador)</t>
  </si>
  <si>
    <t>Informe del verificador, commit 70dd13c, docs/verificacion-requisitos.md §11.2.1</t>
  </si>
  <si>
    <t>En PostgreSQL 18 la transacción aborta y el gimnasio no se borra (dos esquemas).</t>
  </si>
  <si>
    <t>Sin medición</t>
  </si>
  <si>
    <t>— (riesgo en backend/src/routes/checkin.js:83-101)</t>
  </si>
  <si>
    <t>No hay evidencia de tiempos; posible lentitud con muchos miembros.</t>
  </si>
  <si>
    <t>backend/src/index.js:101, :103</t>
  </si>
  <si>
    <t>Endpoints de salud disponibles para monitoreo; sin reporte.</t>
  </si>
  <si>
    <t>backend/src/routes/auth.js:145, :231, :447; staff.js:431; miembros.js:388, :625; cliente.js:88; frontend/src/api.js:26</t>
  </si>
  <si>
    <t>bcrypt en todas las contraseñas y API por HTTPS.</t>
  </si>
  <si>
    <t>frontend/src/pages/CheckinPage.jsx:221-223, :333, :341-347</t>
  </si>
  <si>
    <t>Flujo manual de 2 interacciones (sin prueba con usuarios).</t>
  </si>
  <si>
    <t>EV-38</t>
  </si>
  <si>
    <t>backend/src/routes/auth.js:100, :134; miembros.js:358; checkin.js:76; dashboard.js:123; notificaciones.js:199; admin-contrato.js:92</t>
  </si>
  <si>
    <t>Alta de gimnasios sin código y aislamiento por id_gimnasio.</t>
  </si>
  <si>
    <t>EV-39</t>
  </si>
  <si>
    <t>backend/src/routes/vista.js:27-42</t>
  </si>
  <si>
    <t>Única consulta sin filtro de gimnasio encontrada.</t>
  </si>
  <si>
    <t>Documento</t>
  </si>
  <si>
    <t>Evidencias_Sustentacion/QA_Responsive_375px.md; frontend/package.json; vercel.json</t>
  </si>
  <si>
    <t>App web sin instalación; sin prueba en los 3 navegadores.</t>
  </si>
  <si>
    <t>EV-41</t>
  </si>
  <si>
    <t>Medición</t>
  </si>
  <si>
    <t>docs/evidencias/cobertura-backend-2026-10-16.txt</t>
  </si>
  <si>
    <t>Cobertura 0 % en checkin.js y notificaciones.js; 23 pruebas, 2 fallan.</t>
  </si>
  <si>
    <t>EV-42</t>
  </si>
  <si>
    <t>backend/src/{routes,lib,middleware,jobs,db}; backend/package.json (sin script test); backend/jest.config.js:15-18</t>
  </si>
  <si>
    <t>Arquitectura en capas; las pruebas no se ejecutan con npm test.</t>
  </si>
  <si>
    <t>backend/Dockerfile; frontend/Dockerfile; frontend/nginx.conf; docker-compose.yml; render.yaml; vercel.json</t>
  </si>
  <si>
    <t>Contenedores definidos y despliegue en nube.</t>
  </si>
  <si>
    <t>backend/src/index.js:43, :63-80, :94</t>
  </si>
  <si>
    <t>Límites de intentos por IP en los endpoints sensibles.</t>
  </si>
  <si>
    <t>backend/src/db/migrate.js:15-56; backend/src/index.js:128-132; backend/migrations/</t>
  </si>
  <si>
    <t>Migraciones versionadas aplicadas al iniciar.</t>
  </si>
  <si>
    <t>Configuración / ejecución</t>
  </si>
  <si>
    <t>.github/workflows/ci.yml:3-6, :13-26, :42-44, :58-59; https://github.com/Luis140721/Proyecto_Fitloyalty/actions (CI en main 8acab31: success)</t>
  </si>
  <si>
    <t>CI en cada PR y en main: nombre de rama, instalación limpia, sintaxis y build.</t>
  </si>
  <si>
    <t>frontend/src/App.jsx:43-45; frontend/src/pages/TerminosPage.jsx, PrivacidadPage.jsx, PoliticaDatosPage.jsx</t>
  </si>
  <si>
    <t>Páginas legales publicadas.</t>
  </si>
  <si>
    <t>backend/src/index.js:101, :103-110</t>
  </si>
  <si>
    <t>Endpoints de salud para monitoreo.</t>
  </si>
  <si>
    <t>backend/src/middleware/errorHandler.js:17-49; backend/src/lib/errors.js; backend/src/lib/asyncHandler.js; backend/src/index.js:113-117</t>
  </si>
  <si>
    <t>Errores manejados de forma centralizada.</t>
  </si>
  <si>
    <t>backend/src/index.js:45-57</t>
  </si>
  <si>
    <t>CORS acepta cualquier origen.</t>
  </si>
  <si>
    <t>Rutas relativas a la raíz del repositorio en main @ 54b19fa (el CI de RQNF-11 en 8acab31). No se hicieron pruebas en vivo: la verificación es por lectura de código, pruebas existentes y 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</si>
</sst>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8"/>
      <color rgb="FF1F3864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sz val="9"/>
      <color rgb="FF595959"/>
      <name val="Calibri"/>
    </font>
    <font>
      <b/>
      <sz val="11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4" fillId="0" borderId="1" xfId="0" applyFont="1" applyBorder="1"/>
    <xf numFmtId="165" fontId="7" fillId="4" borderId="1" xfId="0" applyNumberFormat="1" applyFont="1" applyFill="1" applyBorder="1" applyAlignment="1">
      <alignment horizontal="center"/>
    </xf>
    <xf numFmtId="9" fontId="7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165" fontId="4" fillId="0" borderId="1" xfId="0" applyNumberFormat="1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10">
    <dxf>
      <font>
        <b/>
        <color rgb="FF006100"/>
        <name val="Calibri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Avance por tipo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Resumen!$G$5</c:f>
              <c:strCache>
                <c:ptCount val="1"/>
                <c:pt idx="0">
                  <c:v>Avance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Resumen!$B$6:$B$8</c:f>
              <c:strCache>
                <c:ptCount val="3"/>
                <c:pt idx="0">
                  <c:v>Funcionales</c:v>
                </c:pt>
                <c:pt idx="1">
                  <c:v>No funcionales</c:v>
                </c:pt>
                <c:pt idx="2">
                  <c:v>Total</c:v>
                </c:pt>
              </c:strCache>
            </c:strRef>
          </c:cat>
          <c:val>
            <c:numRef>
              <c:f>Resumen!$G$6:$G$8</c:f>
              <c:numCache>
                <c:formatCode>0.0%</c:formatCode>
                <c:ptCount val="3"/>
                <c:pt idx="0">
                  <c:v>0.63636363636363635</c:v>
                </c:pt>
                <c:pt idx="1">
                  <c:v>0.6</c:v>
                </c:pt>
                <c:pt idx="2">
                  <c:v>0.6216216216216216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4-481D-9F73-2DE1AA6E4B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Requisitos por estado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Resumen!$K$5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Resumen!$J$6:$J$8</c:f>
              <c:strCache>
                <c:ptCount val="3"/>
                <c:pt idx="0">
                  <c:v>Implementado</c:v>
                </c:pt>
                <c:pt idx="1">
                  <c:v>Parcial</c:v>
                </c:pt>
                <c:pt idx="2">
                  <c:v>Pendiente</c:v>
                </c:pt>
              </c:strCache>
            </c:strRef>
          </c:cat>
          <c:val>
            <c:numRef>
              <c:f>Resumen!$K$6:$K$8</c:f>
              <c:numCache>
                <c:formatCode>General</c:formatCode>
                <c:ptCount val="3"/>
                <c:pt idx="0">
                  <c:v>16</c:v>
                </c:pt>
                <c:pt idx="1">
                  <c:v>14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4-49DA-AE64-EDB3BB66324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43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9</xdr:row>
      <xdr:rowOff>0</xdr:rowOff>
    </xdr:from>
    <xdr:ext cx="36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0"/>
  <sheetViews>
    <sheetView showGridLines="0" tabSelected="1" workbookViewId="0"/>
  </sheetViews>
  <sheetFormatPr baseColWidth="10" defaultColWidth="8.88671875" defaultRowHeight="14.4" x14ac:dyDescent="0.3"/>
  <cols>
    <col min="1" max="1" width="3" customWidth="1"/>
    <col min="2" max="2" width="22" customWidth="1"/>
    <col min="3" max="3" width="13" customWidth="1"/>
    <col min="4" max="4" width="15" customWidth="1"/>
    <col min="5" max="5" width="11" customWidth="1"/>
    <col min="6" max="6" width="12" customWidth="1"/>
    <col min="7" max="7" width="10" customWidth="1"/>
    <col min="8" max="8" width="9" customWidth="1"/>
    <col min="9" max="10" width="16" customWidth="1"/>
  </cols>
  <sheetData>
    <row r="2" spans="2:11" ht="23.4" x14ac:dyDescent="0.45">
      <c r="B2" s="1" t="s">
        <v>0</v>
      </c>
    </row>
    <row r="3" spans="2:11" x14ac:dyDescent="0.3">
      <c r="B3" s="2" t="s">
        <v>1</v>
      </c>
    </row>
    <row r="5" spans="2:1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6" t="s">
        <v>8</v>
      </c>
      <c r="I5" s="6" t="s">
        <v>9</v>
      </c>
      <c r="J5" s="4" t="s">
        <v>10</v>
      </c>
      <c r="K5" s="4" t="s">
        <v>11</v>
      </c>
    </row>
    <row r="6" spans="2:11" x14ac:dyDescent="0.3">
      <c r="B6" s="7" t="s">
        <v>12</v>
      </c>
      <c r="C6" s="8">
        <f>COUNTA(RF!$A$2:$A$100)</f>
        <v>22</v>
      </c>
      <c r="D6" s="8">
        <f>COUNTIF(RF!$C$2:$C$100,"Implementado")</f>
        <v>10</v>
      </c>
      <c r="E6" s="8">
        <f>COUNTIF(RF!$C$2:$C$100,"Parcial")</f>
        <v>8</v>
      </c>
      <c r="F6" s="8">
        <f>COUNTIF(RF!$C$2:$C$100,"Pendiente")</f>
        <v>4</v>
      </c>
      <c r="G6" s="9">
        <f>IF(C6=0,0,SUM(RF!$F$2:$F$100)/C6)</f>
        <v>0.63636363636363635</v>
      </c>
      <c r="H6" s="10">
        <f>Resumen!$C$40</f>
        <v>0.8</v>
      </c>
      <c r="I6" s="11">
        <f>MAX(0,H6*C6-G6*C6)</f>
        <v>3.6000000000000014</v>
      </c>
      <c r="J6" t="s">
        <v>13</v>
      </c>
      <c r="K6">
        <f>D8</f>
        <v>16</v>
      </c>
    </row>
    <row r="7" spans="2:11" x14ac:dyDescent="0.3">
      <c r="B7" s="7" t="s">
        <v>14</v>
      </c>
      <c r="C7" s="8">
        <f>COUNTA(RNF!$A$2:$A$100)</f>
        <v>15</v>
      </c>
      <c r="D7" s="8">
        <f>COUNTIF(RNF!$C$2:$C$100,"Implementado")</f>
        <v>6</v>
      </c>
      <c r="E7" s="8">
        <f>COUNTIF(RNF!$C$2:$C$100,"Parcial")</f>
        <v>6</v>
      </c>
      <c r="F7" s="8">
        <f>COUNTIF(RNF!$C$2:$C$100,"Pendiente")</f>
        <v>3</v>
      </c>
      <c r="G7" s="9">
        <f>IF(C7=0,0,SUM(RNF!$F$2:$F$100)/C7)</f>
        <v>0.6</v>
      </c>
      <c r="H7" s="10">
        <f>Resumen!$C$40</f>
        <v>0.8</v>
      </c>
      <c r="I7" s="11">
        <f>MAX(0,H7*C7-G7*C7)</f>
        <v>3</v>
      </c>
      <c r="J7" t="s">
        <v>15</v>
      </c>
      <c r="K7">
        <f>E8</f>
        <v>14</v>
      </c>
    </row>
    <row r="8" spans="2:11" x14ac:dyDescent="0.3">
      <c r="B8" s="12" t="s">
        <v>16</v>
      </c>
      <c r="C8" s="13">
        <f>C6+C7</f>
        <v>37</v>
      </c>
      <c r="D8" s="13">
        <f>D6+D7</f>
        <v>16</v>
      </c>
      <c r="E8" s="13">
        <f>E6+E7</f>
        <v>14</v>
      </c>
      <c r="F8" s="13">
        <f>F6+F7</f>
        <v>7</v>
      </c>
      <c r="G8" s="14">
        <f>IF(C8=0,0,(SUM(RF!$F$2:$F$100)+SUM(RNF!$F$2:$F$100))/C8)</f>
        <v>0.6216216216216216</v>
      </c>
      <c r="H8" s="15">
        <f>Resumen!$C$40</f>
        <v>0.8</v>
      </c>
      <c r="I8" s="16">
        <f>MAX(0,H8*C8-G8*C8)</f>
        <v>6.6000000000000014</v>
      </c>
      <c r="J8" t="s">
        <v>17</v>
      </c>
      <c r="K8">
        <f>F8</f>
        <v>7</v>
      </c>
    </row>
    <row r="10" spans="2:11" x14ac:dyDescent="0.3">
      <c r="B10" s="17" t="s">
        <v>18</v>
      </c>
    </row>
    <row r="29" spans="2:7" x14ac:dyDescent="0.3">
      <c r="B29" s="18" t="s">
        <v>19</v>
      </c>
    </row>
    <row r="30" spans="2:7" x14ac:dyDescent="0.3">
      <c r="B30" s="6" t="s">
        <v>2</v>
      </c>
      <c r="C30" s="6" t="s">
        <v>3</v>
      </c>
      <c r="D30" s="6" t="s">
        <v>4</v>
      </c>
      <c r="E30" s="6" t="s">
        <v>5</v>
      </c>
      <c r="F30" s="6" t="s">
        <v>6</v>
      </c>
      <c r="G30" s="6" t="s">
        <v>7</v>
      </c>
    </row>
    <row r="31" spans="2:7" x14ac:dyDescent="0.3">
      <c r="B31" s="7" t="s">
        <v>12</v>
      </c>
      <c r="C31" s="8">
        <f>COUNTIFS(RF!$A$2:$A$100,"RQ*",RF!$G$2:$G$100,"Original")</f>
        <v>12</v>
      </c>
      <c r="D31" s="8">
        <f>COUNTIFS(RF!$C$2:$C$100,"Implementado",RF!$G$2:$G$100,"Original")</f>
        <v>3</v>
      </c>
      <c r="E31" s="8">
        <f>COUNTIFS(RF!$C$2:$C$100,"Parcial",RF!$G$2:$G$100,"Original")</f>
        <v>6</v>
      </c>
      <c r="F31" s="8">
        <f>COUNTIFS(RF!$C$2:$C$100,"Pendiente",RF!$G$2:$G$100,"Original")</f>
        <v>3</v>
      </c>
      <c r="G31" s="9">
        <f>IF(C31=0,0,SUMIFS(RF!$F$2:$F$100,RF!$G$2:$G$100,"Original")/C31)</f>
        <v>0.5</v>
      </c>
    </row>
    <row r="32" spans="2:7" x14ac:dyDescent="0.3">
      <c r="B32" s="7" t="s">
        <v>14</v>
      </c>
      <c r="C32" s="8">
        <f>COUNTIFS(RNF!$A$2:$A$100,"RQ*",RNF!$G$2:$G$100,"Original")</f>
        <v>8</v>
      </c>
      <c r="D32" s="8">
        <f>COUNTIFS(RNF!$C$2:$C$100,"Implementado",RNF!$G$2:$G$100,"Original")</f>
        <v>2</v>
      </c>
      <c r="E32" s="8">
        <f>COUNTIFS(RNF!$C$2:$C$100,"Parcial",RNF!$G$2:$G$100,"Original")</f>
        <v>4</v>
      </c>
      <c r="F32" s="8">
        <f>COUNTIFS(RNF!$C$2:$C$100,"Pendiente",RNF!$G$2:$G$100,"Original")</f>
        <v>2</v>
      </c>
      <c r="G32" s="9">
        <f>IF(C32=0,0,SUMIFS(RNF!$F$2:$F$100,RNF!$G$2:$G$100,"Original")/C32)</f>
        <v>0.5</v>
      </c>
    </row>
    <row r="33" spans="2:7" x14ac:dyDescent="0.3">
      <c r="B33" s="12" t="s">
        <v>16</v>
      </c>
      <c r="C33" s="13">
        <f>C31+C32</f>
        <v>20</v>
      </c>
      <c r="D33" s="13">
        <f>D31+D32</f>
        <v>5</v>
      </c>
      <c r="E33" s="13">
        <f>E31+E32</f>
        <v>10</v>
      </c>
      <c r="F33" s="13">
        <f>F31+F32</f>
        <v>5</v>
      </c>
      <c r="G33" s="14">
        <f>IF(C33=0,0,(SUMIFS(RF!$F$2:$F$100,RF!$G$2:$G$100,"Original")+SUMIFS(RNF!$F$2:$F$100,RNF!$G$2:$G$100,"Original"))/C33)</f>
        <v>0.5</v>
      </c>
    </row>
    <row r="35" spans="2:7" x14ac:dyDescent="0.3">
      <c r="B35" s="18" t="s">
        <v>20</v>
      </c>
    </row>
    <row r="36" spans="2:7" x14ac:dyDescent="0.3">
      <c r="B36" s="19" t="s">
        <v>13</v>
      </c>
      <c r="C36" s="20">
        <v>1</v>
      </c>
      <c r="D36" s="17" t="s">
        <v>21</v>
      </c>
    </row>
    <row r="37" spans="2:7" x14ac:dyDescent="0.3">
      <c r="B37" s="19" t="s">
        <v>15</v>
      </c>
      <c r="C37" s="20">
        <v>0.5</v>
      </c>
    </row>
    <row r="38" spans="2:7" x14ac:dyDescent="0.3">
      <c r="B38" s="19" t="s">
        <v>17</v>
      </c>
      <c r="C38" s="20">
        <v>0</v>
      </c>
    </row>
    <row r="40" spans="2:7" x14ac:dyDescent="0.3">
      <c r="B40" s="18" t="s">
        <v>22</v>
      </c>
      <c r="C40" s="21">
        <v>0.8</v>
      </c>
      <c r="D40" s="17" t="s">
        <v>23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24" customWidth="1"/>
    <col min="3" max="3" width="15" customWidth="1"/>
    <col min="4" max="4" width="70" customWidth="1"/>
    <col min="5" max="5" width="60" customWidth="1"/>
    <col min="6" max="6" width="9" customWidth="1"/>
    <col min="7" max="7" width="10" customWidth="1"/>
    <col min="8" max="8" width="22" customWidth="1"/>
    <col min="9" max="9" width="14" customWidth="1"/>
    <col min="10" max="10" width="60" customWidth="1"/>
  </cols>
  <sheetData>
    <row r="1" spans="1:10" x14ac:dyDescent="0.3">
      <c r="A1" s="5" t="s">
        <v>24</v>
      </c>
      <c r="B1" s="5" t="s">
        <v>25</v>
      </c>
      <c r="C1" s="5" t="s">
        <v>10</v>
      </c>
      <c r="D1" s="5" t="s">
        <v>26</v>
      </c>
      <c r="E1" s="5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</row>
    <row r="2" spans="1:10" ht="57.6" x14ac:dyDescent="0.3">
      <c r="A2" s="22" t="s">
        <v>33</v>
      </c>
      <c r="B2" s="23" t="s">
        <v>34</v>
      </c>
      <c r="C2" s="24" t="s">
        <v>15</v>
      </c>
      <c r="D2" s="23" t="s">
        <v>35</v>
      </c>
      <c r="E2" s="23" t="s">
        <v>36</v>
      </c>
      <c r="F2" s="25">
        <f>IFERROR(INDEX(Resumen!$C$36:$C$38,MATCH(C2,Resumen!$B$36:$B$38,0)),0)</f>
        <v>0.5</v>
      </c>
      <c r="G2" s="24" t="s">
        <v>37</v>
      </c>
      <c r="H2" s="23" t="s">
        <v>38</v>
      </c>
      <c r="I2" s="23" t="s">
        <v>39</v>
      </c>
      <c r="J2" s="23" t="s">
        <v>40</v>
      </c>
    </row>
    <row r="3" spans="1:10" ht="43.2" x14ac:dyDescent="0.3">
      <c r="A3" s="22" t="s">
        <v>41</v>
      </c>
      <c r="B3" s="23" t="s">
        <v>34</v>
      </c>
      <c r="C3" s="24" t="s">
        <v>15</v>
      </c>
      <c r="D3" s="23" t="s">
        <v>42</v>
      </c>
      <c r="E3" s="23" t="s">
        <v>43</v>
      </c>
      <c r="F3" s="25">
        <f>IFERROR(INDEX(Resumen!$C$36:$C$38,MATCH(C3,Resumen!$B$36:$B$38,0)),0)</f>
        <v>0.5</v>
      </c>
      <c r="G3" s="24" t="s">
        <v>37</v>
      </c>
      <c r="H3" s="23" t="s">
        <v>44</v>
      </c>
      <c r="I3" s="23" t="s">
        <v>45</v>
      </c>
      <c r="J3" s="23" t="s">
        <v>46</v>
      </c>
    </row>
    <row r="4" spans="1:10" ht="57.6" x14ac:dyDescent="0.3">
      <c r="A4" s="22" t="s">
        <v>47</v>
      </c>
      <c r="B4" s="23" t="s">
        <v>48</v>
      </c>
      <c r="C4" s="24" t="s">
        <v>13</v>
      </c>
      <c r="D4" s="23" t="s">
        <v>49</v>
      </c>
      <c r="E4" s="23" t="s">
        <v>50</v>
      </c>
      <c r="F4" s="25">
        <f>IFERROR(INDEX(Resumen!$C$36:$C$38,MATCH(C4,Resumen!$B$36:$B$38,0)),0)</f>
        <v>1</v>
      </c>
      <c r="G4" s="24" t="s">
        <v>37</v>
      </c>
      <c r="H4" s="23" t="s">
        <v>51</v>
      </c>
      <c r="I4" s="23" t="s">
        <v>52</v>
      </c>
      <c r="J4" s="23" t="s">
        <v>53</v>
      </c>
    </row>
    <row r="5" spans="1:10" ht="57.6" x14ac:dyDescent="0.3">
      <c r="A5" s="22" t="s">
        <v>54</v>
      </c>
      <c r="B5" s="23" t="s">
        <v>48</v>
      </c>
      <c r="C5" s="24" t="s">
        <v>15</v>
      </c>
      <c r="D5" s="23" t="s">
        <v>55</v>
      </c>
      <c r="E5" s="23" t="s">
        <v>56</v>
      </c>
      <c r="F5" s="25">
        <f>IFERROR(INDEX(Resumen!$C$36:$C$38,MATCH(C5,Resumen!$B$36:$B$38,0)),0)</f>
        <v>0.5</v>
      </c>
      <c r="G5" s="24" t="s">
        <v>37</v>
      </c>
      <c r="H5" s="23" t="s">
        <v>57</v>
      </c>
      <c r="I5" s="23" t="s">
        <v>58</v>
      </c>
      <c r="J5" s="23" t="s">
        <v>59</v>
      </c>
    </row>
    <row r="6" spans="1:10" ht="57.6" x14ac:dyDescent="0.3">
      <c r="A6" s="22" t="s">
        <v>60</v>
      </c>
      <c r="B6" s="23" t="s">
        <v>61</v>
      </c>
      <c r="C6" s="24" t="s">
        <v>13</v>
      </c>
      <c r="D6" s="23" t="s">
        <v>62</v>
      </c>
      <c r="E6" s="23" t="s">
        <v>63</v>
      </c>
      <c r="F6" s="25">
        <f>IFERROR(INDEX(Resumen!$C$36:$C$38,MATCH(C6,Resumen!$B$36:$B$38,0)),0)</f>
        <v>1</v>
      </c>
      <c r="G6" s="24" t="s">
        <v>37</v>
      </c>
      <c r="H6" s="23" t="s">
        <v>64</v>
      </c>
      <c r="I6" s="23" t="s">
        <v>65</v>
      </c>
      <c r="J6" s="23" t="s">
        <v>66</v>
      </c>
    </row>
    <row r="7" spans="1:10" ht="43.2" x14ac:dyDescent="0.3">
      <c r="A7" s="22" t="s">
        <v>67</v>
      </c>
      <c r="B7" s="23" t="s">
        <v>61</v>
      </c>
      <c r="C7" s="24" t="s">
        <v>15</v>
      </c>
      <c r="D7" s="23" t="s">
        <v>68</v>
      </c>
      <c r="E7" s="23" t="s">
        <v>69</v>
      </c>
      <c r="F7" s="25">
        <f>IFERROR(INDEX(Resumen!$C$36:$C$38,MATCH(C7,Resumen!$B$36:$B$38,0)),0)</f>
        <v>0.5</v>
      </c>
      <c r="G7" s="24" t="s">
        <v>37</v>
      </c>
      <c r="H7" s="23" t="s">
        <v>70</v>
      </c>
      <c r="I7" s="23" t="s">
        <v>71</v>
      </c>
      <c r="J7" s="23" t="s">
        <v>72</v>
      </c>
    </row>
    <row r="8" spans="1:10" ht="43.2" x14ac:dyDescent="0.3">
      <c r="A8" s="22" t="s">
        <v>73</v>
      </c>
      <c r="B8" s="23" t="s">
        <v>74</v>
      </c>
      <c r="C8" s="24" t="s">
        <v>15</v>
      </c>
      <c r="D8" s="23" t="s">
        <v>75</v>
      </c>
      <c r="E8" s="23" t="s">
        <v>76</v>
      </c>
      <c r="F8" s="25">
        <f>IFERROR(INDEX(Resumen!$C$36:$C$38,MATCH(C8,Resumen!$B$36:$B$38,0)),0)</f>
        <v>0.5</v>
      </c>
      <c r="G8" s="24" t="s">
        <v>37</v>
      </c>
      <c r="H8" s="23" t="s">
        <v>77</v>
      </c>
      <c r="I8" s="23" t="s">
        <v>78</v>
      </c>
      <c r="J8" s="23" t="s">
        <v>79</v>
      </c>
    </row>
    <row r="9" spans="1:10" ht="57.6" x14ac:dyDescent="0.3">
      <c r="A9" s="22" t="s">
        <v>80</v>
      </c>
      <c r="B9" s="23" t="s">
        <v>81</v>
      </c>
      <c r="C9" s="24" t="s">
        <v>15</v>
      </c>
      <c r="D9" s="23" t="s">
        <v>82</v>
      </c>
      <c r="E9" s="23" t="s">
        <v>83</v>
      </c>
      <c r="F9" s="25">
        <f>IFERROR(INDEX(Resumen!$C$36:$C$38,MATCH(C9,Resumen!$B$36:$B$38,0)),0)</f>
        <v>0.5</v>
      </c>
      <c r="G9" s="24" t="s">
        <v>37</v>
      </c>
      <c r="H9" s="23" t="s">
        <v>84</v>
      </c>
      <c r="I9" s="23" t="s">
        <v>85</v>
      </c>
      <c r="J9" s="23" t="s">
        <v>86</v>
      </c>
    </row>
    <row r="10" spans="1:10" ht="57.6" x14ac:dyDescent="0.3">
      <c r="A10" s="22" t="s">
        <v>87</v>
      </c>
      <c r="B10" s="23" t="s">
        <v>81</v>
      </c>
      <c r="C10" s="24" t="s">
        <v>13</v>
      </c>
      <c r="D10" s="23" t="s">
        <v>88</v>
      </c>
      <c r="E10" s="23" t="s">
        <v>89</v>
      </c>
      <c r="F10" s="25">
        <f>IFERROR(INDEX(Resumen!$C$36:$C$38,MATCH(C10,Resumen!$B$36:$B$38,0)),0)</f>
        <v>1</v>
      </c>
      <c r="G10" s="24" t="s">
        <v>37</v>
      </c>
      <c r="H10" s="23" t="s">
        <v>90</v>
      </c>
      <c r="I10" s="23" t="s">
        <v>91</v>
      </c>
      <c r="J10" s="23" t="s">
        <v>92</v>
      </c>
    </row>
    <row r="11" spans="1:10" ht="57.6" x14ac:dyDescent="0.3">
      <c r="A11" s="22" t="s">
        <v>93</v>
      </c>
      <c r="B11" s="23" t="s">
        <v>94</v>
      </c>
      <c r="C11" s="24" t="s">
        <v>17</v>
      </c>
      <c r="D11" s="23" t="s">
        <v>95</v>
      </c>
      <c r="E11" s="23" t="s">
        <v>96</v>
      </c>
      <c r="F11" s="25">
        <f>IFERROR(INDEX(Resumen!$C$36:$C$38,MATCH(C11,Resumen!$B$36:$B$38,0)),0)</f>
        <v>0</v>
      </c>
      <c r="G11" s="24" t="s">
        <v>37</v>
      </c>
      <c r="H11" s="23" t="s">
        <v>97</v>
      </c>
      <c r="I11" s="23" t="s">
        <v>98</v>
      </c>
      <c r="J11" s="23" t="s">
        <v>99</v>
      </c>
    </row>
    <row r="12" spans="1:10" ht="57.6" x14ac:dyDescent="0.3">
      <c r="A12" s="22" t="s">
        <v>100</v>
      </c>
      <c r="B12" s="23" t="s">
        <v>101</v>
      </c>
      <c r="C12" s="24" t="s">
        <v>17</v>
      </c>
      <c r="D12" s="23" t="s">
        <v>102</v>
      </c>
      <c r="E12" s="23" t="s">
        <v>103</v>
      </c>
      <c r="F12" s="25">
        <f>IFERROR(INDEX(Resumen!$C$36:$C$38,MATCH(C12,Resumen!$B$36:$B$38,0)),0)</f>
        <v>0</v>
      </c>
      <c r="G12" s="24" t="s">
        <v>37</v>
      </c>
      <c r="H12" s="23" t="s">
        <v>104</v>
      </c>
      <c r="I12" s="23" t="s">
        <v>105</v>
      </c>
      <c r="J12" s="23" t="s">
        <v>106</v>
      </c>
    </row>
    <row r="13" spans="1:10" ht="57.6" x14ac:dyDescent="0.3">
      <c r="A13" s="22" t="s">
        <v>107</v>
      </c>
      <c r="B13" s="23" t="s">
        <v>101</v>
      </c>
      <c r="C13" s="24" t="s">
        <v>17</v>
      </c>
      <c r="D13" s="23" t="s">
        <v>108</v>
      </c>
      <c r="E13" s="23" t="s">
        <v>109</v>
      </c>
      <c r="F13" s="25">
        <f>IFERROR(INDEX(Resumen!$C$36:$C$38,MATCH(C13,Resumen!$B$36:$B$38,0)),0)</f>
        <v>0</v>
      </c>
      <c r="G13" s="24" t="s">
        <v>37</v>
      </c>
      <c r="H13" s="23" t="s">
        <v>110</v>
      </c>
      <c r="I13" s="23" t="s">
        <v>111</v>
      </c>
      <c r="J13" s="23" t="s">
        <v>112</v>
      </c>
    </row>
    <row r="14" spans="1:10" ht="57.6" x14ac:dyDescent="0.3">
      <c r="A14" s="22" t="s">
        <v>113</v>
      </c>
      <c r="B14" s="23" t="s">
        <v>114</v>
      </c>
      <c r="C14" s="24" t="s">
        <v>15</v>
      </c>
      <c r="D14" s="23" t="s">
        <v>115</v>
      </c>
      <c r="E14" s="23" t="s">
        <v>116</v>
      </c>
      <c r="F14" s="25">
        <f>IFERROR(INDEX(Resumen!$C$36:$C$38,MATCH(C14,Resumen!$B$36:$B$38,0)),0)</f>
        <v>0.5</v>
      </c>
      <c r="G14" s="24" t="s">
        <v>117</v>
      </c>
      <c r="H14" s="23" t="s">
        <v>118</v>
      </c>
      <c r="I14" s="23" t="s">
        <v>119</v>
      </c>
      <c r="J14" s="23" t="s">
        <v>120</v>
      </c>
    </row>
    <row r="15" spans="1:10" ht="86.4" x14ac:dyDescent="0.3">
      <c r="A15" s="22" t="s">
        <v>121</v>
      </c>
      <c r="B15" s="23" t="s">
        <v>48</v>
      </c>
      <c r="C15" s="24" t="s">
        <v>15</v>
      </c>
      <c r="D15" s="23" t="s">
        <v>122</v>
      </c>
      <c r="E15" s="23" t="s">
        <v>123</v>
      </c>
      <c r="F15" s="25">
        <f>IFERROR(INDEX(Resumen!$C$36:$C$38,MATCH(C15,Resumen!$B$36:$B$38,0)),0)</f>
        <v>0.5</v>
      </c>
      <c r="G15" s="24" t="s">
        <v>117</v>
      </c>
      <c r="H15" s="23" t="s">
        <v>124</v>
      </c>
      <c r="I15" s="23" t="s">
        <v>125</v>
      </c>
      <c r="J15" s="23" t="s">
        <v>126</v>
      </c>
    </row>
    <row r="16" spans="1:10" ht="100.8" x14ac:dyDescent="0.3">
      <c r="A16" s="22" t="s">
        <v>127</v>
      </c>
      <c r="B16" s="23" t="s">
        <v>128</v>
      </c>
      <c r="C16" s="24" t="s">
        <v>13</v>
      </c>
      <c r="D16" s="23" t="s">
        <v>129</v>
      </c>
      <c r="E16" s="23" t="s">
        <v>130</v>
      </c>
      <c r="F16" s="25">
        <f>IFERROR(INDEX(Resumen!$C$36:$C$38,MATCH(C16,Resumen!$B$36:$B$38,0)),0)</f>
        <v>1</v>
      </c>
      <c r="G16" s="24" t="s">
        <v>117</v>
      </c>
      <c r="H16" s="23" t="s">
        <v>131</v>
      </c>
      <c r="I16" s="23" t="s">
        <v>132</v>
      </c>
      <c r="J16" s="23" t="s">
        <v>133</v>
      </c>
    </row>
    <row r="17" spans="1:10" ht="72" x14ac:dyDescent="0.3">
      <c r="A17" s="22" t="s">
        <v>134</v>
      </c>
      <c r="B17" s="23" t="s">
        <v>135</v>
      </c>
      <c r="C17" s="24" t="s">
        <v>13</v>
      </c>
      <c r="D17" s="23" t="s">
        <v>136</v>
      </c>
      <c r="E17" s="23" t="s">
        <v>137</v>
      </c>
      <c r="F17" s="25">
        <f>IFERROR(INDEX(Resumen!$C$36:$C$38,MATCH(C17,Resumen!$B$36:$B$38,0)),0)</f>
        <v>1</v>
      </c>
      <c r="G17" s="24" t="s">
        <v>117</v>
      </c>
      <c r="H17" s="23" t="s">
        <v>138</v>
      </c>
      <c r="I17" s="23" t="s">
        <v>139</v>
      </c>
      <c r="J17" s="23" t="s">
        <v>140</v>
      </c>
    </row>
    <row r="18" spans="1:10" ht="72" x14ac:dyDescent="0.3">
      <c r="A18" s="22" t="s">
        <v>141</v>
      </c>
      <c r="B18" s="23" t="s">
        <v>34</v>
      </c>
      <c r="C18" s="24" t="s">
        <v>13</v>
      </c>
      <c r="D18" s="23" t="s">
        <v>142</v>
      </c>
      <c r="E18" s="23" t="s">
        <v>143</v>
      </c>
      <c r="F18" s="25">
        <f>IFERROR(INDEX(Resumen!$C$36:$C$38,MATCH(C18,Resumen!$B$36:$B$38,0)),0)</f>
        <v>1</v>
      </c>
      <c r="G18" s="24" t="s">
        <v>117</v>
      </c>
      <c r="H18" s="23" t="s">
        <v>144</v>
      </c>
      <c r="I18" s="23" t="s">
        <v>145</v>
      </c>
      <c r="J18" s="23" t="s">
        <v>146</v>
      </c>
    </row>
    <row r="19" spans="1:10" ht="43.2" x14ac:dyDescent="0.3">
      <c r="A19" s="22" t="s">
        <v>147</v>
      </c>
      <c r="B19" s="23" t="s">
        <v>74</v>
      </c>
      <c r="C19" s="24" t="s">
        <v>13</v>
      </c>
      <c r="D19" s="23" t="s">
        <v>148</v>
      </c>
      <c r="E19" s="23" t="s">
        <v>63</v>
      </c>
      <c r="F19" s="25">
        <f>IFERROR(INDEX(Resumen!$C$36:$C$38,MATCH(C19,Resumen!$B$36:$B$38,0)),0)</f>
        <v>1</v>
      </c>
      <c r="G19" s="24" t="s">
        <v>117</v>
      </c>
      <c r="H19" s="23" t="s">
        <v>149</v>
      </c>
      <c r="I19" s="23" t="s">
        <v>150</v>
      </c>
      <c r="J19" s="23" t="s">
        <v>151</v>
      </c>
    </row>
    <row r="20" spans="1:10" ht="43.2" x14ac:dyDescent="0.3">
      <c r="A20" s="22" t="s">
        <v>152</v>
      </c>
      <c r="B20" s="23" t="s">
        <v>34</v>
      </c>
      <c r="C20" s="24" t="s">
        <v>13</v>
      </c>
      <c r="D20" s="23" t="s">
        <v>153</v>
      </c>
      <c r="E20" s="23" t="s">
        <v>63</v>
      </c>
      <c r="F20" s="25">
        <f>IFERROR(INDEX(Resumen!$C$36:$C$38,MATCH(C20,Resumen!$B$36:$B$38,0)),0)</f>
        <v>1</v>
      </c>
      <c r="G20" s="24" t="s">
        <v>117</v>
      </c>
      <c r="H20" s="23" t="s">
        <v>138</v>
      </c>
      <c r="I20" s="23" t="s">
        <v>154</v>
      </c>
      <c r="J20" s="23" t="s">
        <v>155</v>
      </c>
    </row>
    <row r="21" spans="1:10" ht="57.6" x14ac:dyDescent="0.3">
      <c r="A21" s="22" t="s">
        <v>156</v>
      </c>
      <c r="B21" s="23" t="s">
        <v>157</v>
      </c>
      <c r="C21" s="24" t="s">
        <v>13</v>
      </c>
      <c r="D21" s="23" t="s">
        <v>158</v>
      </c>
      <c r="E21" s="23" t="s">
        <v>159</v>
      </c>
      <c r="F21" s="25">
        <f>IFERROR(INDEX(Resumen!$C$36:$C$38,MATCH(C21,Resumen!$B$36:$B$38,0)),0)</f>
        <v>1</v>
      </c>
      <c r="G21" s="24" t="s">
        <v>117</v>
      </c>
      <c r="H21" s="23" t="s">
        <v>160</v>
      </c>
      <c r="I21" s="23" t="s">
        <v>161</v>
      </c>
      <c r="J21" s="23" t="s">
        <v>162</v>
      </c>
    </row>
    <row r="22" spans="1:10" ht="57.6" x14ac:dyDescent="0.3">
      <c r="A22" s="22" t="s">
        <v>163</v>
      </c>
      <c r="B22" s="23" t="s">
        <v>48</v>
      </c>
      <c r="C22" s="24" t="s">
        <v>13</v>
      </c>
      <c r="D22" s="23" t="s">
        <v>164</v>
      </c>
      <c r="E22" s="23" t="s">
        <v>165</v>
      </c>
      <c r="F22" s="25">
        <f>IFERROR(INDEX(Resumen!$C$36:$C$38,MATCH(C22,Resumen!$B$36:$B$38,0)),0)</f>
        <v>1</v>
      </c>
      <c r="G22" s="24" t="s">
        <v>117</v>
      </c>
      <c r="H22" s="23" t="s">
        <v>166</v>
      </c>
      <c r="I22" s="23" t="s">
        <v>167</v>
      </c>
      <c r="J22" s="23" t="s">
        <v>168</v>
      </c>
    </row>
    <row r="23" spans="1:10" ht="115.2" x14ac:dyDescent="0.3">
      <c r="A23" s="22" t="s">
        <v>169</v>
      </c>
      <c r="B23" s="23" t="s">
        <v>170</v>
      </c>
      <c r="C23" s="24" t="s">
        <v>17</v>
      </c>
      <c r="D23" s="23" t="s">
        <v>171</v>
      </c>
      <c r="E23" s="23" t="s">
        <v>172</v>
      </c>
      <c r="F23" s="25">
        <f>IFERROR(INDEX(Resumen!$C$36:$C$38,MATCH(C23,Resumen!$B$36:$B$38,0)),0)</f>
        <v>0</v>
      </c>
      <c r="G23" s="24" t="s">
        <v>117</v>
      </c>
      <c r="H23" s="23" t="s">
        <v>173</v>
      </c>
      <c r="I23" s="23" t="s">
        <v>174</v>
      </c>
      <c r="J23" s="23" t="s">
        <v>175</v>
      </c>
    </row>
  </sheetData>
  <autoFilter ref="A1:J23" xr:uid="{00000000-0009-0000-0000-000001000000}"/>
  <conditionalFormatting sqref="C2:C100">
    <cfRule type="cellIs" dxfId="9" priority="1" operator="equal">
      <formula>"Implementado"</formula>
    </cfRule>
    <cfRule type="cellIs" dxfId="8" priority="2" operator="equal">
      <formula>"Parcial"</formula>
    </cfRule>
    <cfRule type="cellIs" dxfId="7" priority="3" operator="equal">
      <formula>"Pendiente"</formula>
    </cfRule>
  </conditionalFormatting>
  <dataValidations count="2">
    <dataValidation type="list" showErrorMessage="1" errorTitle="Estado no válido" error="Usa Implementado, Parcial o Pendiente." sqref="C2:C100" xr:uid="{00000000-0002-0000-0100-000000000000}">
      <formula1>"Implementado,Parcial,Pendiente"</formula1>
    </dataValidation>
    <dataValidation type="list" sqref="G2:G100" xr:uid="{00000000-0002-0000-0100-000001000000}">
      <formula1>"Original,Nuevo"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24" customWidth="1"/>
    <col min="3" max="3" width="15" customWidth="1"/>
    <col min="4" max="4" width="70" customWidth="1"/>
    <col min="5" max="5" width="60" customWidth="1"/>
    <col min="6" max="6" width="9" customWidth="1"/>
    <col min="7" max="7" width="10" customWidth="1"/>
    <col min="8" max="8" width="22" customWidth="1"/>
    <col min="9" max="9" width="14" customWidth="1"/>
    <col min="10" max="10" width="60" customWidth="1"/>
  </cols>
  <sheetData>
    <row r="1" spans="1:10" x14ac:dyDescent="0.3">
      <c r="A1" s="5" t="s">
        <v>24</v>
      </c>
      <c r="B1" s="5" t="s">
        <v>25</v>
      </c>
      <c r="C1" s="5" t="s">
        <v>10</v>
      </c>
      <c r="D1" s="5" t="s">
        <v>26</v>
      </c>
      <c r="E1" s="5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</row>
    <row r="2" spans="1:10" ht="57.6" x14ac:dyDescent="0.3">
      <c r="A2" s="22" t="s">
        <v>176</v>
      </c>
      <c r="B2" s="23" t="s">
        <v>177</v>
      </c>
      <c r="C2" s="24" t="s">
        <v>17</v>
      </c>
      <c r="D2" s="23" t="s">
        <v>178</v>
      </c>
      <c r="E2" s="23" t="s">
        <v>179</v>
      </c>
      <c r="F2" s="25">
        <f>IFERROR(INDEX(Resumen!$C$36:$C$38,MATCH(C2,Resumen!$B$36:$B$38,0)),0)</f>
        <v>0</v>
      </c>
      <c r="G2" s="24" t="s">
        <v>37</v>
      </c>
      <c r="H2" s="23" t="s">
        <v>63</v>
      </c>
      <c r="I2" s="23" t="s">
        <v>180</v>
      </c>
      <c r="J2" s="23" t="s">
        <v>181</v>
      </c>
    </row>
    <row r="3" spans="1:10" ht="43.2" x14ac:dyDescent="0.3">
      <c r="A3" s="22" t="s">
        <v>182</v>
      </c>
      <c r="B3" s="23" t="s">
        <v>183</v>
      </c>
      <c r="C3" s="24" t="s">
        <v>17</v>
      </c>
      <c r="D3" s="23" t="s">
        <v>184</v>
      </c>
      <c r="E3" s="23" t="s">
        <v>185</v>
      </c>
      <c r="F3" s="25">
        <f>IFERROR(INDEX(Resumen!$C$36:$C$38,MATCH(C3,Resumen!$B$36:$B$38,0)),0)</f>
        <v>0</v>
      </c>
      <c r="G3" s="24" t="s">
        <v>37</v>
      </c>
      <c r="H3" s="23" t="s">
        <v>63</v>
      </c>
      <c r="I3" s="23" t="s">
        <v>186</v>
      </c>
      <c r="J3" s="23" t="s">
        <v>187</v>
      </c>
    </row>
    <row r="4" spans="1:10" ht="43.2" x14ac:dyDescent="0.3">
      <c r="A4" s="22" t="s">
        <v>188</v>
      </c>
      <c r="B4" s="23" t="s">
        <v>189</v>
      </c>
      <c r="C4" s="24" t="s">
        <v>13</v>
      </c>
      <c r="D4" s="23" t="s">
        <v>190</v>
      </c>
      <c r="E4" s="23" t="s">
        <v>191</v>
      </c>
      <c r="F4" s="25">
        <f>IFERROR(INDEX(Resumen!$C$36:$C$38,MATCH(C4,Resumen!$B$36:$B$38,0)),0)</f>
        <v>1</v>
      </c>
      <c r="G4" s="24" t="s">
        <v>37</v>
      </c>
      <c r="H4" s="23" t="s">
        <v>63</v>
      </c>
      <c r="I4" s="23" t="s">
        <v>192</v>
      </c>
      <c r="J4" s="23" t="s">
        <v>193</v>
      </c>
    </row>
    <row r="5" spans="1:10" ht="43.2" x14ac:dyDescent="0.3">
      <c r="A5" s="22" t="s">
        <v>194</v>
      </c>
      <c r="B5" s="23" t="s">
        <v>195</v>
      </c>
      <c r="C5" s="24" t="s">
        <v>15</v>
      </c>
      <c r="D5" s="23" t="s">
        <v>196</v>
      </c>
      <c r="E5" s="23" t="s">
        <v>197</v>
      </c>
      <c r="F5" s="25">
        <f>IFERROR(INDEX(Resumen!$C$36:$C$38,MATCH(C5,Resumen!$B$36:$B$38,0)),0)</f>
        <v>0.5</v>
      </c>
      <c r="G5" s="24" t="s">
        <v>37</v>
      </c>
      <c r="H5" s="23" t="s">
        <v>198</v>
      </c>
      <c r="I5" s="23" t="s">
        <v>199</v>
      </c>
      <c r="J5" s="23" t="s">
        <v>200</v>
      </c>
    </row>
    <row r="6" spans="1:10" ht="43.2" x14ac:dyDescent="0.3">
      <c r="A6" s="22" t="s">
        <v>201</v>
      </c>
      <c r="B6" s="23" t="s">
        <v>202</v>
      </c>
      <c r="C6" s="24" t="s">
        <v>15</v>
      </c>
      <c r="D6" s="23" t="s">
        <v>203</v>
      </c>
      <c r="E6" s="23" t="s">
        <v>204</v>
      </c>
      <c r="F6" s="25">
        <f>IFERROR(INDEX(Resumen!$C$36:$C$38,MATCH(C6,Resumen!$B$36:$B$38,0)),0)</f>
        <v>0.5</v>
      </c>
      <c r="G6" s="24" t="s">
        <v>37</v>
      </c>
      <c r="H6" s="23" t="s">
        <v>138</v>
      </c>
      <c r="I6" s="23" t="s">
        <v>205</v>
      </c>
      <c r="J6" s="23" t="s">
        <v>206</v>
      </c>
    </row>
    <row r="7" spans="1:10" ht="43.2" x14ac:dyDescent="0.3">
      <c r="A7" s="22" t="s">
        <v>207</v>
      </c>
      <c r="B7" s="23" t="s">
        <v>208</v>
      </c>
      <c r="C7" s="24" t="s">
        <v>15</v>
      </c>
      <c r="D7" s="23" t="s">
        <v>209</v>
      </c>
      <c r="E7" s="23" t="s">
        <v>210</v>
      </c>
      <c r="F7" s="25">
        <f>IFERROR(INDEX(Resumen!$C$36:$C$38,MATCH(C7,Resumen!$B$36:$B$38,0)),0)</f>
        <v>0.5</v>
      </c>
      <c r="G7" s="24" t="s">
        <v>37</v>
      </c>
      <c r="H7" s="23" t="s">
        <v>63</v>
      </c>
      <c r="I7" s="23" t="s">
        <v>211</v>
      </c>
      <c r="J7" s="23" t="s">
        <v>212</v>
      </c>
    </row>
    <row r="8" spans="1:10" ht="57.6" x14ac:dyDescent="0.3">
      <c r="A8" s="22" t="s">
        <v>213</v>
      </c>
      <c r="B8" s="23" t="s">
        <v>214</v>
      </c>
      <c r="C8" s="24" t="s">
        <v>15</v>
      </c>
      <c r="D8" s="23" t="s">
        <v>215</v>
      </c>
      <c r="E8" s="23" t="s">
        <v>216</v>
      </c>
      <c r="F8" s="25">
        <f>IFERROR(INDEX(Resumen!$C$36:$C$38,MATCH(C8,Resumen!$B$36:$B$38,0)),0)</f>
        <v>0.5</v>
      </c>
      <c r="G8" s="24" t="s">
        <v>37</v>
      </c>
      <c r="H8" s="23" t="s">
        <v>63</v>
      </c>
      <c r="I8" s="23" t="s">
        <v>217</v>
      </c>
      <c r="J8" s="23" t="s">
        <v>218</v>
      </c>
    </row>
    <row r="9" spans="1:10" ht="43.2" x14ac:dyDescent="0.3">
      <c r="A9" s="22" t="s">
        <v>219</v>
      </c>
      <c r="B9" s="23" t="s">
        <v>220</v>
      </c>
      <c r="C9" s="24" t="s">
        <v>13</v>
      </c>
      <c r="D9" s="23" t="s">
        <v>221</v>
      </c>
      <c r="E9" s="23" t="s">
        <v>222</v>
      </c>
      <c r="F9" s="25">
        <f>IFERROR(INDEX(Resumen!$C$36:$C$38,MATCH(C9,Resumen!$B$36:$B$38,0)),0)</f>
        <v>1</v>
      </c>
      <c r="G9" s="24" t="s">
        <v>37</v>
      </c>
      <c r="H9" s="23" t="s">
        <v>63</v>
      </c>
      <c r="I9" s="23" t="s">
        <v>223</v>
      </c>
      <c r="J9" s="23" t="s">
        <v>224</v>
      </c>
    </row>
    <row r="10" spans="1:10" ht="43.2" x14ac:dyDescent="0.3">
      <c r="A10" s="22" t="s">
        <v>225</v>
      </c>
      <c r="B10" s="23" t="s">
        <v>189</v>
      </c>
      <c r="C10" s="24" t="s">
        <v>15</v>
      </c>
      <c r="D10" s="23" t="s">
        <v>226</v>
      </c>
      <c r="E10" s="23" t="s">
        <v>227</v>
      </c>
      <c r="F10" s="25">
        <f>IFERROR(INDEX(Resumen!$C$36:$C$38,MATCH(C10,Resumen!$B$36:$B$38,0)),0)</f>
        <v>0.5</v>
      </c>
      <c r="G10" s="24" t="s">
        <v>117</v>
      </c>
      <c r="H10" s="23" t="s">
        <v>63</v>
      </c>
      <c r="I10" s="23" t="s">
        <v>228</v>
      </c>
      <c r="J10" s="23" t="s">
        <v>229</v>
      </c>
    </row>
    <row r="11" spans="1:10" ht="100.8" x14ac:dyDescent="0.3">
      <c r="A11" s="22" t="s">
        <v>230</v>
      </c>
      <c r="B11" s="23" t="s">
        <v>214</v>
      </c>
      <c r="C11" s="24" t="s">
        <v>15</v>
      </c>
      <c r="D11" s="23" t="s">
        <v>231</v>
      </c>
      <c r="E11" s="23" t="s">
        <v>232</v>
      </c>
      <c r="F11" s="25">
        <f>IFERROR(INDEX(Resumen!$C$36:$C$38,MATCH(C11,Resumen!$B$36:$B$38,0)),0)</f>
        <v>0.5</v>
      </c>
      <c r="G11" s="24" t="s">
        <v>117</v>
      </c>
      <c r="H11" s="23" t="s">
        <v>63</v>
      </c>
      <c r="I11" s="23" t="s">
        <v>233</v>
      </c>
      <c r="J11" s="23" t="s">
        <v>234</v>
      </c>
    </row>
    <row r="12" spans="1:10" ht="57.6" x14ac:dyDescent="0.3">
      <c r="A12" s="22" t="s">
        <v>235</v>
      </c>
      <c r="B12" s="23" t="s">
        <v>214</v>
      </c>
      <c r="C12" s="24" t="s">
        <v>13</v>
      </c>
      <c r="D12" s="23" t="s">
        <v>236</v>
      </c>
      <c r="E12" s="23" t="s">
        <v>237</v>
      </c>
      <c r="F12" s="25">
        <f>IFERROR(INDEX(Resumen!$C$36:$C$38,MATCH(C12,Resumen!$B$36:$B$38,0)),0)</f>
        <v>1</v>
      </c>
      <c r="G12" s="24" t="s">
        <v>117</v>
      </c>
      <c r="H12" s="23" t="s">
        <v>63</v>
      </c>
      <c r="I12" s="23" t="s">
        <v>238</v>
      </c>
      <c r="J12" s="23" t="s">
        <v>239</v>
      </c>
    </row>
    <row r="13" spans="1:10" ht="28.8" x14ac:dyDescent="0.3">
      <c r="A13" s="22" t="s">
        <v>240</v>
      </c>
      <c r="B13" s="23" t="s">
        <v>170</v>
      </c>
      <c r="C13" s="24" t="s">
        <v>13</v>
      </c>
      <c r="D13" s="23" t="s">
        <v>241</v>
      </c>
      <c r="E13" s="23" t="s">
        <v>63</v>
      </c>
      <c r="F13" s="25">
        <f>IFERROR(INDEX(Resumen!$C$36:$C$38,MATCH(C13,Resumen!$B$36:$B$38,0)),0)</f>
        <v>1</v>
      </c>
      <c r="G13" s="24" t="s">
        <v>117</v>
      </c>
      <c r="H13" s="23" t="s">
        <v>63</v>
      </c>
      <c r="I13" s="23" t="s">
        <v>242</v>
      </c>
      <c r="J13" s="23" t="s">
        <v>243</v>
      </c>
    </row>
    <row r="14" spans="1:10" ht="28.8" x14ac:dyDescent="0.3">
      <c r="A14" s="22" t="s">
        <v>244</v>
      </c>
      <c r="B14" s="23" t="s">
        <v>245</v>
      </c>
      <c r="C14" s="24" t="s">
        <v>13</v>
      </c>
      <c r="D14" s="23" t="s">
        <v>246</v>
      </c>
      <c r="E14" s="23" t="s">
        <v>63</v>
      </c>
      <c r="F14" s="25">
        <f>IFERROR(INDEX(Resumen!$C$36:$C$38,MATCH(C14,Resumen!$B$36:$B$38,0)),0)</f>
        <v>1</v>
      </c>
      <c r="G14" s="24" t="s">
        <v>117</v>
      </c>
      <c r="H14" s="23" t="s">
        <v>63</v>
      </c>
      <c r="I14" s="23" t="s">
        <v>247</v>
      </c>
      <c r="J14" s="23" t="s">
        <v>248</v>
      </c>
    </row>
    <row r="15" spans="1:10" ht="43.2" x14ac:dyDescent="0.3">
      <c r="A15" s="22" t="s">
        <v>249</v>
      </c>
      <c r="B15" s="23" t="s">
        <v>214</v>
      </c>
      <c r="C15" s="24" t="s">
        <v>13</v>
      </c>
      <c r="D15" s="23" t="s">
        <v>250</v>
      </c>
      <c r="E15" s="23" t="s">
        <v>63</v>
      </c>
      <c r="F15" s="25">
        <f>IFERROR(INDEX(Resumen!$C$36:$C$38,MATCH(C15,Resumen!$B$36:$B$38,0)),0)</f>
        <v>1</v>
      </c>
      <c r="G15" s="24" t="s">
        <v>117</v>
      </c>
      <c r="H15" s="23" t="s">
        <v>63</v>
      </c>
      <c r="I15" s="23" t="s">
        <v>251</v>
      </c>
      <c r="J15" s="23" t="s">
        <v>252</v>
      </c>
    </row>
    <row r="16" spans="1:10" ht="43.2" x14ac:dyDescent="0.3">
      <c r="A16" s="22" t="s">
        <v>253</v>
      </c>
      <c r="B16" s="23" t="s">
        <v>189</v>
      </c>
      <c r="C16" s="24" t="s">
        <v>17</v>
      </c>
      <c r="D16" s="23" t="s">
        <v>254</v>
      </c>
      <c r="E16" s="23" t="s">
        <v>255</v>
      </c>
      <c r="F16" s="25">
        <f>IFERROR(INDEX(Resumen!$C$36:$C$38,MATCH(C16,Resumen!$B$36:$B$38,0)),0)</f>
        <v>0</v>
      </c>
      <c r="G16" s="24" t="s">
        <v>117</v>
      </c>
      <c r="H16" s="23" t="s">
        <v>63</v>
      </c>
      <c r="I16" s="23" t="s">
        <v>256</v>
      </c>
      <c r="J16" s="23" t="s">
        <v>257</v>
      </c>
    </row>
  </sheetData>
  <autoFilter ref="A1:J16" xr:uid="{00000000-0009-0000-0000-000002000000}"/>
  <conditionalFormatting sqref="C2:C100">
    <cfRule type="cellIs" dxfId="6" priority="1" operator="equal">
      <formula>"Implementado"</formula>
    </cfRule>
    <cfRule type="cellIs" dxfId="5" priority="2" operator="equal">
      <formula>"Parcial"</formula>
    </cfRule>
    <cfRule type="cellIs" dxfId="4" priority="3" operator="equal">
      <formula>"Pendiente"</formula>
    </cfRule>
  </conditionalFormatting>
  <dataValidations count="2">
    <dataValidation type="list" showErrorMessage="1" errorTitle="Estado no válido" error="Usa Implementado, Parcial o Pendiente." sqref="C2:C100" xr:uid="{00000000-0002-0000-0200-000000000000}">
      <formula1>"Implementado,Parcial,Pendiente"</formula1>
    </dataValidation>
    <dataValidation type="list" sqref="G2:G100" xr:uid="{00000000-0002-0000-0200-000001000000}">
      <formula1>"Original,Nuevo"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15" customWidth="1"/>
    <col min="3" max="3" width="70" customWidth="1"/>
    <col min="4" max="4" width="50" customWidth="1"/>
    <col min="5" max="5" width="16" customWidth="1"/>
    <col min="6" max="6" width="10" customWidth="1"/>
    <col min="7" max="7" width="12" customWidth="1"/>
    <col min="8" max="8" width="14" customWidth="1"/>
  </cols>
  <sheetData>
    <row r="1" spans="1:8" ht="28.8" x14ac:dyDescent="0.3">
      <c r="A1" s="6" t="s">
        <v>24</v>
      </c>
      <c r="B1" s="6" t="s">
        <v>10</v>
      </c>
      <c r="C1" s="6" t="s">
        <v>17</v>
      </c>
      <c r="D1" s="6" t="s">
        <v>258</v>
      </c>
      <c r="E1" s="6" t="s">
        <v>259</v>
      </c>
      <c r="F1" s="6" t="s">
        <v>260</v>
      </c>
      <c r="G1" s="6" t="s">
        <v>261</v>
      </c>
      <c r="H1" s="6" t="s">
        <v>262</v>
      </c>
    </row>
    <row r="2" spans="1:8" ht="28.8" x14ac:dyDescent="0.3">
      <c r="A2" s="22" t="s">
        <v>253</v>
      </c>
      <c r="B2" s="24" t="str">
        <f>IFERROR(INDEX(RF!$C$2:$C$100,MATCH($A2,RF!$A$2:$A$100,0)),INDEX(RNF!$C$2:$C$100,MATCH($A2,RNF!$A$2:$A$100,0)))</f>
        <v>Pendiente</v>
      </c>
      <c r="C2" s="23" t="s">
        <v>255</v>
      </c>
      <c r="D2" s="23" t="s">
        <v>263</v>
      </c>
      <c r="E2" s="23" t="s">
        <v>264</v>
      </c>
      <c r="F2" s="24" t="s">
        <v>265</v>
      </c>
      <c r="G2" s="25">
        <f>1-IFERROR(INDEX(RF!$F$2:$F$100,MATCH($A2,RF!$A$2:$A$100,0)),INDEX(RNF!$F$2:$F$100,MATCH($A2,RNF!$A$2:$A$100,0)))</f>
        <v>1</v>
      </c>
      <c r="H2" s="26">
        <f>(Resumen!$G$8*Resumen!$C$8+SUM($G$2:G2))/Resumen!$C$8</f>
        <v>0.64864864864864868</v>
      </c>
    </row>
    <row r="3" spans="1:8" ht="57.6" x14ac:dyDescent="0.3">
      <c r="A3" s="22" t="s">
        <v>169</v>
      </c>
      <c r="B3" s="24" t="str">
        <f>IFERROR(INDEX(RF!$C$2:$C$100,MATCH($A3,RF!$A$2:$A$100,0)),INDEX(RNF!$C$2:$C$100,MATCH($A3,RNF!$A$2:$A$100,0)))</f>
        <v>Pendiente</v>
      </c>
      <c r="C3" s="23" t="s">
        <v>172</v>
      </c>
      <c r="D3" s="23" t="s">
        <v>266</v>
      </c>
      <c r="E3" s="23" t="s">
        <v>264</v>
      </c>
      <c r="F3" s="24" t="s">
        <v>265</v>
      </c>
      <c r="G3" s="25">
        <f>1-IFERROR(INDEX(RF!$F$2:$F$100,MATCH($A3,RF!$A$2:$A$100,0)),INDEX(RNF!$F$2:$F$100,MATCH($A3,RNF!$A$2:$A$100,0)))</f>
        <v>1</v>
      </c>
      <c r="H3" s="26">
        <f>(Resumen!$G$8*Resumen!$C$8+SUM($G$2:G3))/Resumen!$C$8</f>
        <v>0.67567567567567566</v>
      </c>
    </row>
    <row r="4" spans="1:8" ht="57.6" x14ac:dyDescent="0.3">
      <c r="A4" s="22" t="s">
        <v>113</v>
      </c>
      <c r="B4" s="24" t="str">
        <f>IFERROR(INDEX(RF!$C$2:$C$100,MATCH($A4,RF!$A$2:$A$100,0)),INDEX(RNF!$C$2:$C$100,MATCH($A4,RNF!$A$2:$A$100,0)))</f>
        <v>Parcial</v>
      </c>
      <c r="C4" s="23" t="s">
        <v>116</v>
      </c>
      <c r="D4" s="23" t="s">
        <v>267</v>
      </c>
      <c r="E4" s="23" t="s">
        <v>264</v>
      </c>
      <c r="F4" s="24" t="s">
        <v>265</v>
      </c>
      <c r="G4" s="25">
        <f>1-IFERROR(INDEX(RF!$F$2:$F$100,MATCH($A4,RF!$A$2:$A$100,0)),INDEX(RNF!$F$2:$F$100,MATCH($A4,RNF!$A$2:$A$100,0)))</f>
        <v>0.5</v>
      </c>
      <c r="H4" s="26">
        <f>(Resumen!$G$8*Resumen!$C$8+SUM($G$2:G4))/Resumen!$C$8</f>
        <v>0.68918918918918914</v>
      </c>
    </row>
    <row r="5" spans="1:8" ht="72" x14ac:dyDescent="0.3">
      <c r="A5" s="22" t="s">
        <v>121</v>
      </c>
      <c r="B5" s="24" t="str">
        <f>IFERROR(INDEX(RF!$C$2:$C$100,MATCH($A5,RF!$A$2:$A$100,0)),INDEX(RNF!$C$2:$C$100,MATCH($A5,RNF!$A$2:$A$100,0)))</f>
        <v>Parcial</v>
      </c>
      <c r="C5" s="23" t="s">
        <v>123</v>
      </c>
      <c r="D5" s="23" t="s">
        <v>268</v>
      </c>
      <c r="E5" s="23" t="s">
        <v>264</v>
      </c>
      <c r="F5" s="24" t="s">
        <v>265</v>
      </c>
      <c r="G5" s="25">
        <f>1-IFERROR(INDEX(RF!$F$2:$F$100,MATCH($A5,RF!$A$2:$A$100,0)),INDEX(RNF!$F$2:$F$100,MATCH($A5,RNF!$A$2:$A$100,0)))</f>
        <v>0.5</v>
      </c>
      <c r="H5" s="26">
        <f>(Resumen!$G$8*Resumen!$C$8+SUM($G$2:G5))/Resumen!$C$8</f>
        <v>0.70270270270270274</v>
      </c>
    </row>
    <row r="6" spans="1:8" ht="28.8" x14ac:dyDescent="0.3">
      <c r="A6" s="22" t="s">
        <v>225</v>
      </c>
      <c r="B6" s="24" t="str">
        <f>IFERROR(INDEX(RF!$C$2:$C$100,MATCH($A6,RF!$A$2:$A$100,0)),INDEX(RNF!$C$2:$C$100,MATCH($A6,RNF!$A$2:$A$100,0)))</f>
        <v>Parcial</v>
      </c>
      <c r="C6" s="23" t="s">
        <v>227</v>
      </c>
      <c r="D6" s="23" t="s">
        <v>269</v>
      </c>
      <c r="E6" s="23" t="s">
        <v>264</v>
      </c>
      <c r="F6" s="24" t="s">
        <v>265</v>
      </c>
      <c r="G6" s="25">
        <f>1-IFERROR(INDEX(RF!$F$2:$F$100,MATCH($A6,RF!$A$2:$A$100,0)),INDEX(RNF!$F$2:$F$100,MATCH($A6,RNF!$A$2:$A$100,0)))</f>
        <v>0.5</v>
      </c>
      <c r="H6" s="26">
        <f>(Resumen!$G$8*Resumen!$C$8+SUM($G$2:G6))/Resumen!$C$8</f>
        <v>0.71621621621621623</v>
      </c>
    </row>
    <row r="7" spans="1:8" ht="28.8" x14ac:dyDescent="0.3">
      <c r="A7" s="22" t="s">
        <v>194</v>
      </c>
      <c r="B7" s="24" t="str">
        <f>IFERROR(INDEX(RF!$C$2:$C$100,MATCH($A7,RF!$A$2:$A$100,0)),INDEX(RNF!$C$2:$C$100,MATCH($A7,RNF!$A$2:$A$100,0)))</f>
        <v>Parcial</v>
      </c>
      <c r="C7" s="23" t="s">
        <v>197</v>
      </c>
      <c r="D7" s="23" t="s">
        <v>270</v>
      </c>
      <c r="E7" s="23" t="s">
        <v>271</v>
      </c>
      <c r="F7" s="24" t="s">
        <v>265</v>
      </c>
      <c r="G7" s="25">
        <f>1-IFERROR(INDEX(RF!$F$2:$F$100,MATCH($A7,RF!$A$2:$A$100,0)),INDEX(RNF!$F$2:$F$100,MATCH($A7,RNF!$A$2:$A$100,0)))</f>
        <v>0.5</v>
      </c>
      <c r="H7" s="26">
        <f>(Resumen!$G$8*Resumen!$C$8+SUM($G$2:G7))/Resumen!$C$8</f>
        <v>0.72972972972972971</v>
      </c>
    </row>
    <row r="8" spans="1:8" ht="28.8" x14ac:dyDescent="0.3">
      <c r="A8" s="22" t="s">
        <v>207</v>
      </c>
      <c r="B8" s="24" t="str">
        <f>IFERROR(INDEX(RF!$C$2:$C$100,MATCH($A8,RF!$A$2:$A$100,0)),INDEX(RNF!$C$2:$C$100,MATCH($A8,RNF!$A$2:$A$100,0)))</f>
        <v>Parcial</v>
      </c>
      <c r="C8" s="23" t="s">
        <v>210</v>
      </c>
      <c r="D8" s="23" t="s">
        <v>272</v>
      </c>
      <c r="E8" s="23" t="s">
        <v>271</v>
      </c>
      <c r="F8" s="24" t="s">
        <v>265</v>
      </c>
      <c r="G8" s="25">
        <f>1-IFERROR(INDEX(RF!$F$2:$F$100,MATCH($A8,RF!$A$2:$A$100,0)),INDEX(RNF!$F$2:$F$100,MATCH($A8,RNF!$A$2:$A$100,0)))</f>
        <v>0.5</v>
      </c>
      <c r="H8" s="26">
        <f>(Resumen!$G$8*Resumen!$C$8+SUM($G$2:G8))/Resumen!$C$8</f>
        <v>0.7432432432432432</v>
      </c>
    </row>
    <row r="9" spans="1:8" ht="43.2" x14ac:dyDescent="0.3">
      <c r="A9" s="22" t="s">
        <v>41</v>
      </c>
      <c r="B9" s="24" t="str">
        <f>IFERROR(INDEX(RF!$C$2:$C$100,MATCH($A9,RF!$A$2:$A$100,0)),INDEX(RNF!$C$2:$C$100,MATCH($A9,RNF!$A$2:$A$100,0)))</f>
        <v>Parcial</v>
      </c>
      <c r="C9" s="23" t="s">
        <v>43</v>
      </c>
      <c r="D9" s="23" t="s">
        <v>273</v>
      </c>
      <c r="E9" s="23" t="s">
        <v>264</v>
      </c>
      <c r="F9" s="24" t="s">
        <v>265</v>
      </c>
      <c r="G9" s="25">
        <f>1-IFERROR(INDEX(RF!$F$2:$F$100,MATCH($A9,RF!$A$2:$A$100,0)),INDEX(RNF!$F$2:$F$100,MATCH($A9,RNF!$A$2:$A$100,0)))</f>
        <v>0.5</v>
      </c>
      <c r="H9" s="26">
        <f>(Resumen!$G$8*Resumen!$C$8+SUM($G$2:G9))/Resumen!$C$8</f>
        <v>0.7567567567567568</v>
      </c>
    </row>
    <row r="10" spans="1:8" ht="43.2" x14ac:dyDescent="0.3">
      <c r="A10" s="22" t="s">
        <v>73</v>
      </c>
      <c r="B10" s="24" t="str">
        <f>IFERROR(INDEX(RF!$C$2:$C$100,MATCH($A10,RF!$A$2:$A$100,0)),INDEX(RNF!$C$2:$C$100,MATCH($A10,RNF!$A$2:$A$100,0)))</f>
        <v>Parcial</v>
      </c>
      <c r="C10" s="23" t="s">
        <v>76</v>
      </c>
      <c r="D10" s="23" t="s">
        <v>274</v>
      </c>
      <c r="E10" s="23" t="s">
        <v>264</v>
      </c>
      <c r="F10" s="24" t="s">
        <v>265</v>
      </c>
      <c r="G10" s="25">
        <f>1-IFERROR(INDEX(RF!$F$2:$F$100,MATCH($A10,RF!$A$2:$A$100,0)),INDEX(RNF!$F$2:$F$100,MATCH($A10,RNF!$A$2:$A$100,0)))</f>
        <v>0.5</v>
      </c>
      <c r="H10" s="26">
        <f>(Resumen!$G$8*Resumen!$C$8+SUM($G$2:G10))/Resumen!$C$8</f>
        <v>0.77027027027027029</v>
      </c>
    </row>
    <row r="11" spans="1:8" ht="43.2" x14ac:dyDescent="0.3">
      <c r="A11" s="22" t="s">
        <v>67</v>
      </c>
      <c r="B11" s="24" t="str">
        <f>IFERROR(INDEX(RF!$C$2:$C$100,MATCH($A11,RF!$A$2:$A$100,0)),INDEX(RNF!$C$2:$C$100,MATCH($A11,RNF!$A$2:$A$100,0)))</f>
        <v>Parcial</v>
      </c>
      <c r="C11" s="23" t="s">
        <v>69</v>
      </c>
      <c r="D11" s="23" t="s">
        <v>275</v>
      </c>
      <c r="E11" s="23" t="s">
        <v>264</v>
      </c>
      <c r="F11" s="24" t="s">
        <v>265</v>
      </c>
      <c r="G11" s="25">
        <f>1-IFERROR(INDEX(RF!$F$2:$F$100,MATCH($A11,RF!$A$2:$A$100,0)),INDEX(RNF!$F$2:$F$100,MATCH($A11,RNF!$A$2:$A$100,0)))</f>
        <v>0.5</v>
      </c>
      <c r="H11" s="26">
        <f>(Resumen!$G$8*Resumen!$C$8+SUM($G$2:G11))/Resumen!$C$8</f>
        <v>0.78378378378378377</v>
      </c>
    </row>
    <row r="12" spans="1:8" ht="43.2" x14ac:dyDescent="0.3">
      <c r="A12" s="22" t="s">
        <v>201</v>
      </c>
      <c r="B12" s="24" t="str">
        <f>IFERROR(INDEX(RF!$C$2:$C$100,MATCH($A12,RF!$A$2:$A$100,0)),INDEX(RNF!$C$2:$C$100,MATCH($A12,RNF!$A$2:$A$100,0)))</f>
        <v>Parcial</v>
      </c>
      <c r="C12" s="23" t="s">
        <v>204</v>
      </c>
      <c r="D12" s="23" t="s">
        <v>276</v>
      </c>
      <c r="E12" s="23" t="s">
        <v>264</v>
      </c>
      <c r="F12" s="24" t="s">
        <v>277</v>
      </c>
      <c r="G12" s="25">
        <f>1-IFERROR(INDEX(RF!$F$2:$F$100,MATCH($A12,RF!$A$2:$A$100,0)),INDEX(RNF!$F$2:$F$100,MATCH($A12,RNF!$A$2:$A$100,0)))</f>
        <v>0.5</v>
      </c>
      <c r="H12" s="26">
        <f>(Resumen!$G$8*Resumen!$C$8+SUM($G$2:G12))/Resumen!$C$8</f>
        <v>0.79729729729729726</v>
      </c>
    </row>
    <row r="13" spans="1:8" ht="43.2" x14ac:dyDescent="0.3">
      <c r="A13" s="22" t="s">
        <v>176</v>
      </c>
      <c r="B13" s="24" t="str">
        <f>IFERROR(INDEX(RF!$C$2:$C$100,MATCH($A13,RF!$A$2:$A$100,0)),INDEX(RNF!$C$2:$C$100,MATCH($A13,RNF!$A$2:$A$100,0)))</f>
        <v>Pendiente</v>
      </c>
      <c r="C13" s="23" t="s">
        <v>179</v>
      </c>
      <c r="D13" s="23" t="s">
        <v>278</v>
      </c>
      <c r="E13" s="23" t="s">
        <v>279</v>
      </c>
      <c r="F13" s="24" t="s">
        <v>277</v>
      </c>
      <c r="G13" s="25">
        <f>1-IFERROR(INDEX(RF!$F$2:$F$100,MATCH($A13,RF!$A$2:$A$100,0)),INDEX(RNF!$F$2:$F$100,MATCH($A13,RNF!$A$2:$A$100,0)))</f>
        <v>1</v>
      </c>
      <c r="H13" s="26">
        <f>(Resumen!$G$8*Resumen!$C$8+SUM($G$2:G13))/Resumen!$C$8</f>
        <v>0.82432432432432434</v>
      </c>
    </row>
    <row r="14" spans="1:8" ht="28.8" x14ac:dyDescent="0.3">
      <c r="A14" s="22" t="s">
        <v>33</v>
      </c>
      <c r="B14" s="24" t="str">
        <f>IFERROR(INDEX(RF!$C$2:$C$100,MATCH($A14,RF!$A$2:$A$100,0)),INDEX(RNF!$C$2:$C$100,MATCH($A14,RNF!$A$2:$A$100,0)))</f>
        <v>Parcial</v>
      </c>
      <c r="C14" s="23" t="s">
        <v>36</v>
      </c>
      <c r="D14" s="23" t="s">
        <v>280</v>
      </c>
      <c r="E14" s="23" t="s">
        <v>264</v>
      </c>
      <c r="F14" s="24" t="s">
        <v>277</v>
      </c>
      <c r="G14" s="25">
        <f>1-IFERROR(INDEX(RF!$F$2:$F$100,MATCH($A14,RF!$A$2:$A$100,0)),INDEX(RNF!$F$2:$F$100,MATCH($A14,RNF!$A$2:$A$100,0)))</f>
        <v>0.5</v>
      </c>
      <c r="H14" s="26">
        <f>(Resumen!$G$8*Resumen!$C$8+SUM($G$2:G14))/Resumen!$C$8</f>
        <v>0.83783783783783783</v>
      </c>
    </row>
    <row r="15" spans="1:8" ht="28.8" x14ac:dyDescent="0.3">
      <c r="A15" s="22" t="s">
        <v>54</v>
      </c>
      <c r="B15" s="24" t="str">
        <f>IFERROR(INDEX(RF!$C$2:$C$100,MATCH($A15,RF!$A$2:$A$100,0)),INDEX(RNF!$C$2:$C$100,MATCH($A15,RNF!$A$2:$A$100,0)))</f>
        <v>Parcial</v>
      </c>
      <c r="C15" s="23" t="s">
        <v>56</v>
      </c>
      <c r="D15" s="23" t="s">
        <v>281</v>
      </c>
      <c r="E15" s="23" t="s">
        <v>264</v>
      </c>
      <c r="F15" s="24" t="s">
        <v>277</v>
      </c>
      <c r="G15" s="25">
        <f>1-IFERROR(INDEX(RF!$F$2:$F$100,MATCH($A15,RF!$A$2:$A$100,0)),INDEX(RNF!$F$2:$F$100,MATCH($A15,RNF!$A$2:$A$100,0)))</f>
        <v>0.5</v>
      </c>
      <c r="H15" s="26">
        <f>(Resumen!$G$8*Resumen!$C$8+SUM($G$2:G15))/Resumen!$C$8</f>
        <v>0.85135135135135132</v>
      </c>
    </row>
    <row r="16" spans="1:8" ht="43.2" x14ac:dyDescent="0.3">
      <c r="A16" s="22" t="s">
        <v>80</v>
      </c>
      <c r="B16" s="24" t="str">
        <f>IFERROR(INDEX(RF!$C$2:$C$100,MATCH($A16,RF!$A$2:$A$100,0)),INDEX(RNF!$C$2:$C$100,MATCH($A16,RNF!$A$2:$A$100,0)))</f>
        <v>Parcial</v>
      </c>
      <c r="C16" s="23" t="s">
        <v>83</v>
      </c>
      <c r="D16" s="23" t="s">
        <v>282</v>
      </c>
      <c r="E16" s="23" t="s">
        <v>264</v>
      </c>
      <c r="F16" s="24" t="s">
        <v>277</v>
      </c>
      <c r="G16" s="25">
        <f>1-IFERROR(INDEX(RF!$F$2:$F$100,MATCH($A16,RF!$A$2:$A$100,0)),INDEX(RNF!$F$2:$F$100,MATCH($A16,RNF!$A$2:$A$100,0)))</f>
        <v>0.5</v>
      </c>
      <c r="H16" s="26">
        <f>(Resumen!$G$8*Resumen!$C$8+SUM($G$2:G16))/Resumen!$C$8</f>
        <v>0.86486486486486491</v>
      </c>
    </row>
    <row r="17" spans="1:8" ht="28.8" x14ac:dyDescent="0.3">
      <c r="A17" s="22" t="s">
        <v>213</v>
      </c>
      <c r="B17" s="24" t="str">
        <f>IFERROR(INDEX(RF!$C$2:$C$100,MATCH($A17,RF!$A$2:$A$100,0)),INDEX(RNF!$C$2:$C$100,MATCH($A17,RNF!$A$2:$A$100,0)))</f>
        <v>Parcial</v>
      </c>
      <c r="C17" s="23" t="s">
        <v>216</v>
      </c>
      <c r="D17" s="23" t="s">
        <v>283</v>
      </c>
      <c r="E17" s="23" t="s">
        <v>264</v>
      </c>
      <c r="F17" s="24" t="s">
        <v>277</v>
      </c>
      <c r="G17" s="25">
        <f>1-IFERROR(INDEX(RF!$F$2:$F$100,MATCH($A17,RF!$A$2:$A$100,0)),INDEX(RNF!$F$2:$F$100,MATCH($A17,RNF!$A$2:$A$100,0)))</f>
        <v>0.5</v>
      </c>
      <c r="H17" s="26">
        <f>(Resumen!$G$8*Resumen!$C$8+SUM($G$2:G17))/Resumen!$C$8</f>
        <v>0.8783783783783784</v>
      </c>
    </row>
    <row r="18" spans="1:8" ht="86.4" x14ac:dyDescent="0.3">
      <c r="A18" s="22" t="s">
        <v>230</v>
      </c>
      <c r="B18" s="24" t="str">
        <f>IFERROR(INDEX(RF!$C$2:$C$100,MATCH($A18,RF!$A$2:$A$100,0)),INDEX(RNF!$C$2:$C$100,MATCH($A18,RNF!$A$2:$A$100,0)))</f>
        <v>Parcial</v>
      </c>
      <c r="C18" s="23" t="s">
        <v>232</v>
      </c>
      <c r="D18" s="23" t="s">
        <v>284</v>
      </c>
      <c r="E18" s="23" t="s">
        <v>264</v>
      </c>
      <c r="F18" s="24" t="s">
        <v>277</v>
      </c>
      <c r="G18" s="25">
        <f>1-IFERROR(INDEX(RF!$F$2:$F$100,MATCH($A18,RF!$A$2:$A$100,0)),INDEX(RNF!$F$2:$F$100,MATCH($A18,RNF!$A$2:$A$100,0)))</f>
        <v>0.5</v>
      </c>
      <c r="H18" s="26">
        <f>(Resumen!$G$8*Resumen!$C$8+SUM($G$2:G18))/Resumen!$C$8</f>
        <v>0.89189189189189189</v>
      </c>
    </row>
    <row r="19" spans="1:8" ht="28.8" x14ac:dyDescent="0.3">
      <c r="A19" s="22" t="s">
        <v>100</v>
      </c>
      <c r="B19" s="24" t="str">
        <f>IFERROR(INDEX(RF!$C$2:$C$100,MATCH($A19,RF!$A$2:$A$100,0)),INDEX(RNF!$C$2:$C$100,MATCH($A19,RNF!$A$2:$A$100,0)))</f>
        <v>Pendiente</v>
      </c>
      <c r="C19" s="23" t="s">
        <v>103</v>
      </c>
      <c r="D19" s="23" t="s">
        <v>285</v>
      </c>
      <c r="E19" s="23" t="s">
        <v>264</v>
      </c>
      <c r="F19" s="24" t="s">
        <v>277</v>
      </c>
      <c r="G19" s="25">
        <f>1-IFERROR(INDEX(RF!$F$2:$F$100,MATCH($A19,RF!$A$2:$A$100,0)),INDEX(RNF!$F$2:$F$100,MATCH($A19,RNF!$A$2:$A$100,0)))</f>
        <v>1</v>
      </c>
      <c r="H19" s="26">
        <f>(Resumen!$G$8*Resumen!$C$8+SUM($G$2:G19))/Resumen!$C$8</f>
        <v>0.91891891891891897</v>
      </c>
    </row>
    <row r="20" spans="1:8" ht="28.8" x14ac:dyDescent="0.3">
      <c r="A20" s="22" t="s">
        <v>182</v>
      </c>
      <c r="B20" s="24" t="str">
        <f>IFERROR(INDEX(RF!$C$2:$C$100,MATCH($A20,RF!$A$2:$A$100,0)),INDEX(RNF!$C$2:$C$100,MATCH($A20,RNF!$A$2:$A$100,0)))</f>
        <v>Pendiente</v>
      </c>
      <c r="C20" s="23" t="s">
        <v>185</v>
      </c>
      <c r="D20" s="23" t="s">
        <v>286</v>
      </c>
      <c r="E20" s="23" t="s">
        <v>271</v>
      </c>
      <c r="F20" s="24" t="s">
        <v>277</v>
      </c>
      <c r="G20" s="25">
        <f>1-IFERROR(INDEX(RF!$F$2:$F$100,MATCH($A20,RF!$A$2:$A$100,0)),INDEX(RNF!$F$2:$F$100,MATCH($A20,RNF!$A$2:$A$100,0)))</f>
        <v>1</v>
      </c>
      <c r="H20" s="26">
        <f>(Resumen!$G$8*Resumen!$C$8+SUM($G$2:G20))/Resumen!$C$8</f>
        <v>0.94594594594594594</v>
      </c>
    </row>
    <row r="21" spans="1:8" ht="28.8" x14ac:dyDescent="0.3">
      <c r="A21" s="22" t="s">
        <v>107</v>
      </c>
      <c r="B21" s="24" t="str">
        <f>IFERROR(INDEX(RF!$C$2:$C$100,MATCH($A21,RF!$A$2:$A$100,0)),INDEX(RNF!$C$2:$C$100,MATCH($A21,RNF!$A$2:$A$100,0)))</f>
        <v>Pendiente</v>
      </c>
      <c r="C21" s="23" t="s">
        <v>109</v>
      </c>
      <c r="D21" s="23" t="s">
        <v>287</v>
      </c>
      <c r="E21" s="23" t="s">
        <v>264</v>
      </c>
      <c r="F21" s="24" t="s">
        <v>288</v>
      </c>
      <c r="G21" s="25">
        <f>1-IFERROR(INDEX(RF!$F$2:$F$100,MATCH($A21,RF!$A$2:$A$100,0)),INDEX(RNF!$F$2:$F$100,MATCH($A21,RNF!$A$2:$A$100,0)))</f>
        <v>1</v>
      </c>
      <c r="H21" s="26">
        <f>(Resumen!$G$8*Resumen!$C$8+SUM($G$2:G21))/Resumen!$C$8</f>
        <v>0.97297297297297303</v>
      </c>
    </row>
    <row r="22" spans="1:8" x14ac:dyDescent="0.3">
      <c r="A22" s="22" t="s">
        <v>93</v>
      </c>
      <c r="B22" s="24" t="str">
        <f>IFERROR(INDEX(RF!$C$2:$C$100,MATCH($A22,RF!$A$2:$A$100,0)),INDEX(RNF!$C$2:$C$100,MATCH($A22,RNF!$A$2:$A$100,0)))</f>
        <v>Pendiente</v>
      </c>
      <c r="C22" s="23" t="s">
        <v>96</v>
      </c>
      <c r="D22" s="23" t="s">
        <v>289</v>
      </c>
      <c r="E22" s="23" t="s">
        <v>264</v>
      </c>
      <c r="F22" s="24" t="s">
        <v>288</v>
      </c>
      <c r="G22" s="25">
        <f>1-IFERROR(INDEX(RF!$F$2:$F$100,MATCH($A22,RF!$A$2:$A$100,0)),INDEX(RNF!$F$2:$F$100,MATCH($A22,RNF!$A$2:$A$100,0)))</f>
        <v>1</v>
      </c>
      <c r="H22" s="26">
        <f>(Resumen!$G$8*Resumen!$C$8+SUM($G$2:G22))/Resumen!$C$8</f>
        <v>1</v>
      </c>
    </row>
    <row r="24" spans="1:8" x14ac:dyDescent="0.3">
      <c r="A24" s="17" t="s">
        <v>290</v>
      </c>
    </row>
  </sheetData>
  <conditionalFormatting sqref="B2:B22">
    <cfRule type="cellIs" dxfId="3" priority="1" operator="equal">
      <formula>"Implementado"</formula>
    </cfRule>
    <cfRule type="cellIs" dxfId="2" priority="2" operator="equal">
      <formula>"Parcial"</formula>
    </cfRule>
    <cfRule type="cellIs" dxfId="1" priority="3" operator="equal">
      <formula>"Pendiente"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000000-000E-0000-0300-000004000000}">
            <xm:f>H2&gt;=Resumen!$C$40</xm:f>
            <x14:dxf>
              <font>
                <b/>
                <color rgb="FF006100"/>
                <name val="Calibri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H2:H22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11" customWidth="1"/>
    <col min="3" max="3" width="20" customWidth="1"/>
    <col min="4" max="4" width="80" customWidth="1"/>
    <col min="5" max="5" width="60" customWidth="1"/>
    <col min="6" max="6" width="14" customWidth="1"/>
    <col min="7" max="7" width="24" customWidth="1"/>
  </cols>
  <sheetData>
    <row r="1" spans="1:7" ht="28.8" x14ac:dyDescent="0.3">
      <c r="A1" s="6" t="s">
        <v>291</v>
      </c>
      <c r="B1" s="6" t="s">
        <v>292</v>
      </c>
      <c r="C1" s="6" t="s">
        <v>2</v>
      </c>
      <c r="D1" s="6" t="s">
        <v>293</v>
      </c>
      <c r="E1" s="6" t="s">
        <v>294</v>
      </c>
      <c r="F1" s="6" t="s">
        <v>295</v>
      </c>
      <c r="G1" s="6" t="s">
        <v>296</v>
      </c>
    </row>
    <row r="2" spans="1:7" x14ac:dyDescent="0.3">
      <c r="A2" s="22" t="s">
        <v>297</v>
      </c>
      <c r="B2" s="23" t="s">
        <v>33</v>
      </c>
      <c r="C2" s="23" t="s">
        <v>24</v>
      </c>
      <c r="D2" s="23" t="s">
        <v>298</v>
      </c>
      <c r="E2" s="23" t="s">
        <v>299</v>
      </c>
      <c r="F2" s="23" t="s">
        <v>300</v>
      </c>
      <c r="G2" s="23" t="s">
        <v>301</v>
      </c>
    </row>
    <row r="3" spans="1:7" x14ac:dyDescent="0.3">
      <c r="A3" s="22" t="s">
        <v>302</v>
      </c>
      <c r="B3" s="23" t="s">
        <v>33</v>
      </c>
      <c r="C3" s="23" t="s">
        <v>24</v>
      </c>
      <c r="D3" s="23" t="s">
        <v>303</v>
      </c>
      <c r="E3" s="23" t="s">
        <v>304</v>
      </c>
      <c r="F3" s="23" t="s">
        <v>300</v>
      </c>
      <c r="G3" s="23" t="s">
        <v>301</v>
      </c>
    </row>
    <row r="4" spans="1:7" x14ac:dyDescent="0.3">
      <c r="A4" s="22" t="s">
        <v>305</v>
      </c>
      <c r="B4" s="23" t="s">
        <v>41</v>
      </c>
      <c r="C4" s="23" t="s">
        <v>24</v>
      </c>
      <c r="D4" s="23" t="s">
        <v>306</v>
      </c>
      <c r="E4" s="23" t="s">
        <v>307</v>
      </c>
      <c r="F4" s="23" t="s">
        <v>300</v>
      </c>
      <c r="G4" s="23" t="s">
        <v>301</v>
      </c>
    </row>
    <row r="5" spans="1:7" ht="28.8" x14ac:dyDescent="0.3">
      <c r="A5" s="22" t="s">
        <v>308</v>
      </c>
      <c r="B5" s="23" t="s">
        <v>41</v>
      </c>
      <c r="C5" s="23" t="s">
        <v>309</v>
      </c>
      <c r="D5" s="23" t="s">
        <v>310</v>
      </c>
      <c r="E5" s="23" t="s">
        <v>311</v>
      </c>
      <c r="F5" s="23" t="s">
        <v>300</v>
      </c>
      <c r="G5" s="23" t="s">
        <v>301</v>
      </c>
    </row>
    <row r="6" spans="1:7" x14ac:dyDescent="0.3">
      <c r="A6" s="22" t="s">
        <v>312</v>
      </c>
      <c r="B6" s="23" t="s">
        <v>47</v>
      </c>
      <c r="C6" s="23" t="s">
        <v>24</v>
      </c>
      <c r="D6" s="23" t="s">
        <v>313</v>
      </c>
      <c r="E6" s="23" t="s">
        <v>314</v>
      </c>
      <c r="F6" s="23" t="s">
        <v>300</v>
      </c>
      <c r="G6" s="23" t="s">
        <v>301</v>
      </c>
    </row>
    <row r="7" spans="1:7" ht="28.8" x14ac:dyDescent="0.3">
      <c r="A7" s="22" t="s">
        <v>315</v>
      </c>
      <c r="B7" s="23" t="s">
        <v>47</v>
      </c>
      <c r="C7" s="23" t="s">
        <v>24</v>
      </c>
      <c r="D7" s="23" t="s">
        <v>316</v>
      </c>
      <c r="E7" s="23" t="s">
        <v>317</v>
      </c>
      <c r="F7" s="23" t="s">
        <v>300</v>
      </c>
      <c r="G7" s="23" t="s">
        <v>301</v>
      </c>
    </row>
    <row r="8" spans="1:7" ht="28.8" x14ac:dyDescent="0.3">
      <c r="A8" s="22" t="s">
        <v>318</v>
      </c>
      <c r="B8" s="23" t="s">
        <v>54</v>
      </c>
      <c r="C8" s="23" t="s">
        <v>24</v>
      </c>
      <c r="D8" s="23" t="s">
        <v>319</v>
      </c>
      <c r="E8" s="23" t="s">
        <v>320</v>
      </c>
      <c r="F8" s="23" t="s">
        <v>300</v>
      </c>
      <c r="G8" s="23" t="s">
        <v>301</v>
      </c>
    </row>
    <row r="9" spans="1:7" x14ac:dyDescent="0.3">
      <c r="A9" s="22" t="s">
        <v>321</v>
      </c>
      <c r="B9" s="23" t="s">
        <v>54</v>
      </c>
      <c r="C9" s="23" t="s">
        <v>322</v>
      </c>
      <c r="D9" s="23" t="s">
        <v>323</v>
      </c>
      <c r="E9" s="23" t="s">
        <v>324</v>
      </c>
      <c r="F9" s="23" t="s">
        <v>300</v>
      </c>
      <c r="G9" s="23" t="s">
        <v>301</v>
      </c>
    </row>
    <row r="10" spans="1:7" x14ac:dyDescent="0.3">
      <c r="A10" s="22" t="s">
        <v>325</v>
      </c>
      <c r="B10" s="23" t="s">
        <v>60</v>
      </c>
      <c r="C10" s="23" t="s">
        <v>24</v>
      </c>
      <c r="D10" s="23" t="s">
        <v>326</v>
      </c>
      <c r="E10" s="23" t="s">
        <v>327</v>
      </c>
      <c r="F10" s="23" t="s">
        <v>300</v>
      </c>
      <c r="G10" s="23" t="s">
        <v>301</v>
      </c>
    </row>
    <row r="11" spans="1:7" x14ac:dyDescent="0.3">
      <c r="A11" s="22" t="s">
        <v>328</v>
      </c>
      <c r="B11" s="23" t="s">
        <v>60</v>
      </c>
      <c r="C11" s="23" t="s">
        <v>329</v>
      </c>
      <c r="D11" s="23" t="s">
        <v>330</v>
      </c>
      <c r="E11" s="23" t="s">
        <v>331</v>
      </c>
      <c r="F11" s="23" t="s">
        <v>300</v>
      </c>
      <c r="G11" s="23" t="s">
        <v>301</v>
      </c>
    </row>
    <row r="12" spans="1:7" ht="28.8" x14ac:dyDescent="0.3">
      <c r="A12" s="22" t="s">
        <v>71</v>
      </c>
      <c r="B12" s="23" t="s">
        <v>67</v>
      </c>
      <c r="C12" s="23" t="s">
        <v>24</v>
      </c>
      <c r="D12" s="23" t="s">
        <v>332</v>
      </c>
      <c r="E12" s="23" t="s">
        <v>333</v>
      </c>
      <c r="F12" s="23" t="s">
        <v>300</v>
      </c>
      <c r="G12" s="23" t="s">
        <v>301</v>
      </c>
    </row>
    <row r="13" spans="1:7" ht="28.8" x14ac:dyDescent="0.3">
      <c r="A13" s="22" t="s">
        <v>78</v>
      </c>
      <c r="B13" s="23" t="s">
        <v>73</v>
      </c>
      <c r="C13" s="23" t="s">
        <v>24</v>
      </c>
      <c r="D13" s="23" t="s">
        <v>334</v>
      </c>
      <c r="E13" s="23" t="s">
        <v>335</v>
      </c>
      <c r="F13" s="23" t="s">
        <v>300</v>
      </c>
      <c r="G13" s="23" t="s">
        <v>301</v>
      </c>
    </row>
    <row r="14" spans="1:7" ht="28.8" x14ac:dyDescent="0.3">
      <c r="A14" s="22" t="s">
        <v>336</v>
      </c>
      <c r="B14" s="23" t="s">
        <v>80</v>
      </c>
      <c r="C14" s="23" t="s">
        <v>24</v>
      </c>
      <c r="D14" s="23" t="s">
        <v>337</v>
      </c>
      <c r="E14" s="23" t="s">
        <v>338</v>
      </c>
      <c r="F14" s="23" t="s">
        <v>300</v>
      </c>
      <c r="G14" s="23" t="s">
        <v>301</v>
      </c>
    </row>
    <row r="15" spans="1:7" ht="28.8" x14ac:dyDescent="0.3">
      <c r="A15" s="22" t="s">
        <v>339</v>
      </c>
      <c r="B15" s="23" t="s">
        <v>80</v>
      </c>
      <c r="C15" s="23" t="s">
        <v>24</v>
      </c>
      <c r="D15" s="23" t="s">
        <v>340</v>
      </c>
      <c r="E15" s="23" t="s">
        <v>341</v>
      </c>
      <c r="F15" s="23" t="s">
        <v>300</v>
      </c>
      <c r="G15" s="23" t="s">
        <v>301</v>
      </c>
    </row>
    <row r="16" spans="1:7" ht="28.8" x14ac:dyDescent="0.3">
      <c r="A16" s="22" t="s">
        <v>91</v>
      </c>
      <c r="B16" s="23" t="s">
        <v>87</v>
      </c>
      <c r="C16" s="23" t="s">
        <v>24</v>
      </c>
      <c r="D16" s="23" t="s">
        <v>342</v>
      </c>
      <c r="E16" s="23" t="s">
        <v>343</v>
      </c>
      <c r="F16" s="23" t="s">
        <v>300</v>
      </c>
      <c r="G16" s="23" t="s">
        <v>301</v>
      </c>
    </row>
    <row r="17" spans="1:7" x14ac:dyDescent="0.3">
      <c r="A17" s="22" t="s">
        <v>98</v>
      </c>
      <c r="B17" s="23" t="s">
        <v>93</v>
      </c>
      <c r="C17" s="23" t="s">
        <v>322</v>
      </c>
      <c r="D17" s="23" t="s">
        <v>344</v>
      </c>
      <c r="E17" s="23" t="s">
        <v>345</v>
      </c>
      <c r="F17" s="23" t="s">
        <v>300</v>
      </c>
      <c r="G17" s="23" t="s">
        <v>301</v>
      </c>
    </row>
    <row r="18" spans="1:7" x14ac:dyDescent="0.3">
      <c r="A18" s="22" t="s">
        <v>105</v>
      </c>
      <c r="B18" s="23" t="s">
        <v>100</v>
      </c>
      <c r="C18" s="23" t="s">
        <v>346</v>
      </c>
      <c r="D18" s="23" t="s">
        <v>347</v>
      </c>
      <c r="E18" s="23" t="s">
        <v>348</v>
      </c>
      <c r="F18" s="23" t="s">
        <v>300</v>
      </c>
      <c r="G18" s="23" t="s">
        <v>301</v>
      </c>
    </row>
    <row r="19" spans="1:7" ht="28.8" x14ac:dyDescent="0.3">
      <c r="A19" s="22" t="s">
        <v>111</v>
      </c>
      <c r="B19" s="23" t="s">
        <v>107</v>
      </c>
      <c r="C19" s="23" t="s">
        <v>346</v>
      </c>
      <c r="D19" s="23" t="s">
        <v>349</v>
      </c>
      <c r="E19" s="23" t="s">
        <v>350</v>
      </c>
      <c r="F19" s="23" t="s">
        <v>300</v>
      </c>
      <c r="G19" s="23" t="s">
        <v>301</v>
      </c>
    </row>
    <row r="20" spans="1:7" ht="43.2" x14ac:dyDescent="0.3">
      <c r="A20" s="22" t="s">
        <v>119</v>
      </c>
      <c r="B20" s="23" t="s">
        <v>113</v>
      </c>
      <c r="C20" s="23" t="s">
        <v>329</v>
      </c>
      <c r="D20" s="23" t="s">
        <v>351</v>
      </c>
      <c r="E20" s="23" t="s">
        <v>352</v>
      </c>
      <c r="F20" s="23" t="s">
        <v>300</v>
      </c>
      <c r="G20" s="23" t="s">
        <v>301</v>
      </c>
    </row>
    <row r="21" spans="1:7" x14ac:dyDescent="0.3">
      <c r="A21" s="22" t="s">
        <v>353</v>
      </c>
      <c r="B21" s="23" t="s">
        <v>121</v>
      </c>
      <c r="C21" s="23" t="s">
        <v>24</v>
      </c>
      <c r="D21" s="23" t="s">
        <v>354</v>
      </c>
      <c r="E21" s="23" t="s">
        <v>355</v>
      </c>
      <c r="F21" s="23" t="s">
        <v>300</v>
      </c>
      <c r="G21" s="23" t="s">
        <v>301</v>
      </c>
    </row>
    <row r="22" spans="1:7" ht="28.8" x14ac:dyDescent="0.3">
      <c r="A22" s="22" t="s">
        <v>356</v>
      </c>
      <c r="B22" s="23" t="s">
        <v>121</v>
      </c>
      <c r="C22" s="23" t="s">
        <v>329</v>
      </c>
      <c r="D22" s="23" t="s">
        <v>357</v>
      </c>
      <c r="E22" s="23" t="s">
        <v>358</v>
      </c>
      <c r="F22" s="23" t="s">
        <v>300</v>
      </c>
      <c r="G22" s="23" t="s">
        <v>301</v>
      </c>
    </row>
    <row r="23" spans="1:7" ht="28.8" x14ac:dyDescent="0.3">
      <c r="A23" s="22" t="s">
        <v>359</v>
      </c>
      <c r="B23" s="23" t="s">
        <v>127</v>
      </c>
      <c r="C23" s="23" t="s">
        <v>24</v>
      </c>
      <c r="D23" s="23" t="s">
        <v>360</v>
      </c>
      <c r="E23" s="23" t="s">
        <v>361</v>
      </c>
      <c r="F23" s="23" t="s">
        <v>300</v>
      </c>
      <c r="G23" s="23" t="s">
        <v>301</v>
      </c>
    </row>
    <row r="24" spans="1:7" ht="28.8" x14ac:dyDescent="0.3">
      <c r="A24" s="22" t="s">
        <v>362</v>
      </c>
      <c r="B24" s="23" t="s">
        <v>127</v>
      </c>
      <c r="C24" s="23" t="s">
        <v>363</v>
      </c>
      <c r="D24" s="23" t="s">
        <v>364</v>
      </c>
      <c r="E24" s="23" t="s">
        <v>365</v>
      </c>
      <c r="F24" s="23" t="s">
        <v>300</v>
      </c>
      <c r="G24" s="23" t="s">
        <v>301</v>
      </c>
    </row>
    <row r="25" spans="1:7" ht="28.8" x14ac:dyDescent="0.3">
      <c r="A25" s="22" t="s">
        <v>366</v>
      </c>
      <c r="B25" s="23" t="s">
        <v>127</v>
      </c>
      <c r="C25" s="23" t="s">
        <v>24</v>
      </c>
      <c r="D25" s="23" t="s">
        <v>367</v>
      </c>
      <c r="E25" s="23" t="s">
        <v>368</v>
      </c>
      <c r="F25" s="23" t="s">
        <v>300</v>
      </c>
      <c r="G25" s="23" t="s">
        <v>301</v>
      </c>
    </row>
    <row r="26" spans="1:7" ht="43.2" x14ac:dyDescent="0.3">
      <c r="A26" s="22" t="s">
        <v>139</v>
      </c>
      <c r="B26" s="23" t="s">
        <v>134</v>
      </c>
      <c r="C26" s="23" t="s">
        <v>369</v>
      </c>
      <c r="D26" s="23" t="s">
        <v>370</v>
      </c>
      <c r="E26" s="23" t="s">
        <v>371</v>
      </c>
      <c r="F26" s="23" t="s">
        <v>300</v>
      </c>
      <c r="G26" s="23" t="s">
        <v>301</v>
      </c>
    </row>
    <row r="27" spans="1:7" ht="28.8" x14ac:dyDescent="0.3">
      <c r="A27" s="22" t="s">
        <v>372</v>
      </c>
      <c r="B27" s="23" t="s">
        <v>141</v>
      </c>
      <c r="C27" s="23" t="s">
        <v>24</v>
      </c>
      <c r="D27" s="23" t="s">
        <v>373</v>
      </c>
      <c r="E27" s="23" t="s">
        <v>374</v>
      </c>
      <c r="F27" s="23" t="s">
        <v>300</v>
      </c>
      <c r="G27" s="23" t="s">
        <v>301</v>
      </c>
    </row>
    <row r="28" spans="1:7" x14ac:dyDescent="0.3">
      <c r="A28" s="22" t="s">
        <v>375</v>
      </c>
      <c r="B28" s="23" t="s">
        <v>141</v>
      </c>
      <c r="C28" s="23" t="s">
        <v>309</v>
      </c>
      <c r="D28" s="23" t="s">
        <v>376</v>
      </c>
      <c r="E28" s="23" t="s">
        <v>377</v>
      </c>
      <c r="F28" s="23" t="s">
        <v>300</v>
      </c>
      <c r="G28" s="23" t="s">
        <v>301</v>
      </c>
    </row>
    <row r="29" spans="1:7" ht="28.8" x14ac:dyDescent="0.3">
      <c r="A29" s="22" t="s">
        <v>150</v>
      </c>
      <c r="B29" s="23" t="s">
        <v>147</v>
      </c>
      <c r="C29" s="23" t="s">
        <v>24</v>
      </c>
      <c r="D29" s="23" t="s">
        <v>378</v>
      </c>
      <c r="E29" s="23" t="s">
        <v>379</v>
      </c>
      <c r="F29" s="23" t="s">
        <v>300</v>
      </c>
      <c r="G29" s="23" t="s">
        <v>301</v>
      </c>
    </row>
    <row r="30" spans="1:7" ht="28.8" x14ac:dyDescent="0.3">
      <c r="A30" s="22" t="s">
        <v>154</v>
      </c>
      <c r="B30" s="23" t="s">
        <v>152</v>
      </c>
      <c r="C30" s="23" t="s">
        <v>24</v>
      </c>
      <c r="D30" s="23" t="s">
        <v>380</v>
      </c>
      <c r="E30" s="23" t="s">
        <v>381</v>
      </c>
      <c r="F30" s="23" t="s">
        <v>300</v>
      </c>
      <c r="G30" s="23" t="s">
        <v>301</v>
      </c>
    </row>
    <row r="31" spans="1:7" ht="28.8" x14ac:dyDescent="0.3">
      <c r="A31" s="22" t="s">
        <v>161</v>
      </c>
      <c r="B31" s="23" t="s">
        <v>156</v>
      </c>
      <c r="C31" s="23" t="s">
        <v>24</v>
      </c>
      <c r="D31" s="23" t="s">
        <v>382</v>
      </c>
      <c r="E31" s="23" t="s">
        <v>383</v>
      </c>
      <c r="F31" s="23" t="s">
        <v>300</v>
      </c>
      <c r="G31" s="23" t="s">
        <v>301</v>
      </c>
    </row>
    <row r="32" spans="1:7" ht="43.2" x14ac:dyDescent="0.3">
      <c r="A32" s="22" t="s">
        <v>167</v>
      </c>
      <c r="B32" s="23" t="s">
        <v>163</v>
      </c>
      <c r="C32" s="23" t="s">
        <v>329</v>
      </c>
      <c r="D32" s="23" t="s">
        <v>384</v>
      </c>
      <c r="E32" s="23" t="s">
        <v>385</v>
      </c>
      <c r="F32" s="23" t="s">
        <v>300</v>
      </c>
      <c r="G32" s="23" t="s">
        <v>301</v>
      </c>
    </row>
    <row r="33" spans="1:7" ht="28.8" x14ac:dyDescent="0.3">
      <c r="A33" s="22" t="s">
        <v>386</v>
      </c>
      <c r="B33" s="23" t="s">
        <v>169</v>
      </c>
      <c r="C33" s="23" t="s">
        <v>24</v>
      </c>
      <c r="D33" s="23" t="s">
        <v>387</v>
      </c>
      <c r="E33" s="23" t="s">
        <v>388</v>
      </c>
      <c r="F33" s="23" t="s">
        <v>300</v>
      </c>
      <c r="G33" s="23" t="s">
        <v>301</v>
      </c>
    </row>
    <row r="34" spans="1:7" ht="28.8" x14ac:dyDescent="0.3">
      <c r="A34" s="22" t="s">
        <v>389</v>
      </c>
      <c r="B34" s="23" t="s">
        <v>169</v>
      </c>
      <c r="C34" s="23" t="s">
        <v>390</v>
      </c>
      <c r="D34" s="23" t="s">
        <v>391</v>
      </c>
      <c r="E34" s="23" t="s">
        <v>392</v>
      </c>
      <c r="F34" s="23" t="s">
        <v>300</v>
      </c>
      <c r="G34" s="23" t="s">
        <v>301</v>
      </c>
    </row>
    <row r="35" spans="1:7" x14ac:dyDescent="0.3">
      <c r="A35" s="22" t="s">
        <v>180</v>
      </c>
      <c r="B35" s="23" t="s">
        <v>176</v>
      </c>
      <c r="C35" s="23" t="s">
        <v>393</v>
      </c>
      <c r="D35" s="23" t="s">
        <v>394</v>
      </c>
      <c r="E35" s="23" t="s">
        <v>395</v>
      </c>
      <c r="F35" s="23" t="s">
        <v>300</v>
      </c>
      <c r="G35" s="23" t="s">
        <v>301</v>
      </c>
    </row>
    <row r="36" spans="1:7" x14ac:dyDescent="0.3">
      <c r="A36" s="22" t="s">
        <v>186</v>
      </c>
      <c r="B36" s="23" t="s">
        <v>182</v>
      </c>
      <c r="C36" s="23" t="s">
        <v>24</v>
      </c>
      <c r="D36" s="23" t="s">
        <v>396</v>
      </c>
      <c r="E36" s="23" t="s">
        <v>397</v>
      </c>
      <c r="F36" s="23" t="s">
        <v>300</v>
      </c>
      <c r="G36" s="23" t="s">
        <v>301</v>
      </c>
    </row>
    <row r="37" spans="1:7" ht="28.8" x14ac:dyDescent="0.3">
      <c r="A37" s="22" t="s">
        <v>192</v>
      </c>
      <c r="B37" s="23" t="s">
        <v>188</v>
      </c>
      <c r="C37" s="23" t="s">
        <v>24</v>
      </c>
      <c r="D37" s="23" t="s">
        <v>398</v>
      </c>
      <c r="E37" s="23" t="s">
        <v>399</v>
      </c>
      <c r="F37" s="23" t="s">
        <v>300</v>
      </c>
      <c r="G37" s="23" t="s">
        <v>301</v>
      </c>
    </row>
    <row r="38" spans="1:7" x14ac:dyDescent="0.3">
      <c r="A38" s="22" t="s">
        <v>199</v>
      </c>
      <c r="B38" s="23" t="s">
        <v>194</v>
      </c>
      <c r="C38" s="23" t="s">
        <v>24</v>
      </c>
      <c r="D38" s="23" t="s">
        <v>400</v>
      </c>
      <c r="E38" s="23" t="s">
        <v>401</v>
      </c>
      <c r="F38" s="23" t="s">
        <v>300</v>
      </c>
      <c r="G38" s="23" t="s">
        <v>301</v>
      </c>
    </row>
    <row r="39" spans="1:7" ht="28.8" x14ac:dyDescent="0.3">
      <c r="A39" s="22" t="s">
        <v>402</v>
      </c>
      <c r="B39" s="23" t="s">
        <v>201</v>
      </c>
      <c r="C39" s="23" t="s">
        <v>24</v>
      </c>
      <c r="D39" s="23" t="s">
        <v>403</v>
      </c>
      <c r="E39" s="23" t="s">
        <v>404</v>
      </c>
      <c r="F39" s="23" t="s">
        <v>300</v>
      </c>
      <c r="G39" s="23" t="s">
        <v>301</v>
      </c>
    </row>
    <row r="40" spans="1:7" x14ac:dyDescent="0.3">
      <c r="A40" s="22" t="s">
        <v>405</v>
      </c>
      <c r="B40" s="23" t="s">
        <v>201</v>
      </c>
      <c r="C40" s="23" t="s">
        <v>309</v>
      </c>
      <c r="D40" s="23" t="s">
        <v>406</v>
      </c>
      <c r="E40" s="23" t="s">
        <v>407</v>
      </c>
      <c r="F40" s="23" t="s">
        <v>300</v>
      </c>
      <c r="G40" s="23" t="s">
        <v>301</v>
      </c>
    </row>
    <row r="41" spans="1:7" x14ac:dyDescent="0.3">
      <c r="A41" s="22" t="s">
        <v>211</v>
      </c>
      <c r="B41" s="23" t="s">
        <v>207</v>
      </c>
      <c r="C41" s="23" t="s">
        <v>408</v>
      </c>
      <c r="D41" s="23" t="s">
        <v>409</v>
      </c>
      <c r="E41" s="23" t="s">
        <v>410</v>
      </c>
      <c r="F41" s="23" t="s">
        <v>300</v>
      </c>
      <c r="G41" s="23" t="s">
        <v>301</v>
      </c>
    </row>
    <row r="42" spans="1:7" x14ac:dyDescent="0.3">
      <c r="A42" s="22" t="s">
        <v>411</v>
      </c>
      <c r="B42" s="23" t="s">
        <v>213</v>
      </c>
      <c r="C42" s="23" t="s">
        <v>412</v>
      </c>
      <c r="D42" s="23" t="s">
        <v>413</v>
      </c>
      <c r="E42" s="23" t="s">
        <v>414</v>
      </c>
      <c r="F42" s="23" t="s">
        <v>300</v>
      </c>
      <c r="G42" s="23" t="s">
        <v>301</v>
      </c>
    </row>
    <row r="43" spans="1:7" ht="28.8" x14ac:dyDescent="0.3">
      <c r="A43" s="22" t="s">
        <v>415</v>
      </c>
      <c r="B43" s="23" t="s">
        <v>213</v>
      </c>
      <c r="C43" s="23" t="s">
        <v>369</v>
      </c>
      <c r="D43" s="23" t="s">
        <v>416</v>
      </c>
      <c r="E43" s="23" t="s">
        <v>417</v>
      </c>
      <c r="F43" s="23" t="s">
        <v>300</v>
      </c>
      <c r="G43" s="23" t="s">
        <v>301</v>
      </c>
    </row>
    <row r="44" spans="1:7" ht="28.8" x14ac:dyDescent="0.3">
      <c r="A44" s="22" t="s">
        <v>223</v>
      </c>
      <c r="B44" s="23" t="s">
        <v>219</v>
      </c>
      <c r="C44" s="23" t="s">
        <v>157</v>
      </c>
      <c r="D44" s="23" t="s">
        <v>418</v>
      </c>
      <c r="E44" s="23" t="s">
        <v>419</v>
      </c>
      <c r="F44" s="23" t="s">
        <v>300</v>
      </c>
      <c r="G44" s="23" t="s">
        <v>301</v>
      </c>
    </row>
    <row r="45" spans="1:7" x14ac:dyDescent="0.3">
      <c r="A45" s="22" t="s">
        <v>228</v>
      </c>
      <c r="B45" s="23" t="s">
        <v>225</v>
      </c>
      <c r="C45" s="23" t="s">
        <v>24</v>
      </c>
      <c r="D45" s="23" t="s">
        <v>420</v>
      </c>
      <c r="E45" s="23" t="s">
        <v>421</v>
      </c>
      <c r="F45" s="23" t="s">
        <v>300</v>
      </c>
      <c r="G45" s="23" t="s">
        <v>301</v>
      </c>
    </row>
    <row r="46" spans="1:7" x14ac:dyDescent="0.3">
      <c r="A46" s="22" t="s">
        <v>233</v>
      </c>
      <c r="B46" s="23" t="s">
        <v>230</v>
      </c>
      <c r="C46" s="23" t="s">
        <v>24</v>
      </c>
      <c r="D46" s="23" t="s">
        <v>422</v>
      </c>
      <c r="E46" s="23" t="s">
        <v>423</v>
      </c>
      <c r="F46" s="23" t="s">
        <v>300</v>
      </c>
      <c r="G46" s="23" t="s">
        <v>301</v>
      </c>
    </row>
    <row r="47" spans="1:7" ht="28.8" x14ac:dyDescent="0.3">
      <c r="A47" s="22" t="s">
        <v>238</v>
      </c>
      <c r="B47" s="23" t="s">
        <v>235</v>
      </c>
      <c r="C47" s="23" t="s">
        <v>424</v>
      </c>
      <c r="D47" s="23" t="s">
        <v>425</v>
      </c>
      <c r="E47" s="23" t="s">
        <v>426</v>
      </c>
      <c r="F47" s="23" t="s">
        <v>300</v>
      </c>
      <c r="G47" s="23" t="s">
        <v>301</v>
      </c>
    </row>
    <row r="48" spans="1:7" ht="28.8" x14ac:dyDescent="0.3">
      <c r="A48" s="22" t="s">
        <v>242</v>
      </c>
      <c r="B48" s="23" t="s">
        <v>240</v>
      </c>
      <c r="C48" s="23" t="s">
        <v>24</v>
      </c>
      <c r="D48" s="23" t="s">
        <v>427</v>
      </c>
      <c r="E48" s="23" t="s">
        <v>428</v>
      </c>
      <c r="F48" s="23" t="s">
        <v>300</v>
      </c>
      <c r="G48" s="23" t="s">
        <v>301</v>
      </c>
    </row>
    <row r="49" spans="1:7" x14ac:dyDescent="0.3">
      <c r="A49" s="22" t="s">
        <v>247</v>
      </c>
      <c r="B49" s="23" t="s">
        <v>244</v>
      </c>
      <c r="C49" s="23" t="s">
        <v>24</v>
      </c>
      <c r="D49" s="23" t="s">
        <v>429</v>
      </c>
      <c r="E49" s="23" t="s">
        <v>430</v>
      </c>
      <c r="F49" s="23" t="s">
        <v>300</v>
      </c>
      <c r="G49" s="23" t="s">
        <v>301</v>
      </c>
    </row>
    <row r="50" spans="1:7" ht="28.8" x14ac:dyDescent="0.3">
      <c r="A50" s="22" t="s">
        <v>251</v>
      </c>
      <c r="B50" s="23" t="s">
        <v>249</v>
      </c>
      <c r="C50" s="23" t="s">
        <v>24</v>
      </c>
      <c r="D50" s="23" t="s">
        <v>431</v>
      </c>
      <c r="E50" s="23" t="s">
        <v>432</v>
      </c>
      <c r="F50" s="23" t="s">
        <v>300</v>
      </c>
      <c r="G50" s="23" t="s">
        <v>301</v>
      </c>
    </row>
    <row r="51" spans="1:7" x14ac:dyDescent="0.3">
      <c r="A51" s="22" t="s">
        <v>256</v>
      </c>
      <c r="B51" s="23" t="s">
        <v>253</v>
      </c>
      <c r="C51" s="23" t="s">
        <v>309</v>
      </c>
      <c r="D51" s="23" t="s">
        <v>433</v>
      </c>
      <c r="E51" s="23" t="s">
        <v>434</v>
      </c>
      <c r="F51" s="23" t="s">
        <v>300</v>
      </c>
      <c r="G51" s="23" t="s">
        <v>301</v>
      </c>
    </row>
    <row r="53" spans="1:7" x14ac:dyDescent="0.3">
      <c r="A53" s="17" t="s">
        <v>435</v>
      </c>
    </row>
  </sheetData>
  <autoFilter ref="A1:G5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RF</vt:lpstr>
      <vt:lpstr>RNF</vt:lpstr>
      <vt:lpstr>Trabajo pendiente</vt:lpstr>
      <vt:lpstr>Evidencias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sanchez</cp:lastModifiedBy>
  <dcterms:created xsi:type="dcterms:W3CDTF">2026-10-17T00:44:18Z</dcterms:created>
  <dcterms:modified xsi:type="dcterms:W3CDTF">2026-10-17T01:38:57Z</dcterms:modified>
</cp:coreProperties>
</file>