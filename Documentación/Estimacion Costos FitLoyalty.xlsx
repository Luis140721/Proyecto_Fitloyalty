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Consolidado" sheetId="1" r:id="rId4"/>
    <sheet state="visible" name="Costo por Sprint" sheetId="2" r:id="rId5"/>
    <sheet state="visible" name="Infraestructura" sheetId="3" r:id="rId6"/>
    <sheet state="visible" name="Licencias" sheetId="4" r:id="rId7"/>
  </sheets>
  <definedNames/>
  <calcPr/>
  <extLst>
    <ext uri="GoogleSheetsCustomDataVersion2">
      <go:sheetsCustomData xmlns:go="http://customooxmlschemas.google.com/" r:id="rId8" roundtripDataChecksum="BJteywNUeglOAnnHbmiuUtd7SYwcUrkCYocy3yJbfSI="/>
    </ext>
  </extLst>
</workbook>
</file>

<file path=xl/sharedStrings.xml><?xml version="1.0" encoding="utf-8"?>
<sst xmlns="http://schemas.openxmlformats.org/spreadsheetml/2006/main" count="80" uniqueCount="73">
  <si>
    <t>Presupuesto total del proyecto (13 sprints / 13 meses)</t>
  </si>
  <si>
    <t>Rubro</t>
  </si>
  <si>
    <t>Costo Mensual (COP)</t>
  </si>
  <si>
    <t>Meses</t>
  </si>
  <si>
    <t>Costo Total (COP)</t>
  </si>
  <si>
    <t>Mano de obra (2 desarrolladores x $3.200.000)</t>
  </si>
  <si>
    <t>Infraestructura tecnologica</t>
  </si>
  <si>
    <t>Licencias y herramientas</t>
  </si>
  <si>
    <t>SUBTOTAL</t>
  </si>
  <si>
    <t>Imprevistos (15%)</t>
  </si>
  <si>
    <t>PRESUPUESTO TOTAL DEL PROYECTO</t>
  </si>
  <si>
    <t>DESGLOSE DE COSTOS POR SPRINT</t>
  </si>
  <si>
    <t>Sprint</t>
  </si>
  <si>
    <t>Periodo</t>
  </si>
  <si>
    <t>Mano de Obra (COP)</t>
  </si>
  <si>
    <t>Infraestructura (COP)</t>
  </si>
  <si>
    <t>Licencias (COP)</t>
  </si>
  <si>
    <t>Costo por Sprint (COP)</t>
  </si>
  <si>
    <t>Sprint 1</t>
  </si>
  <si>
    <t>05/01/2026 - 13/02/2026</t>
  </si>
  <si>
    <t>Sprint 2</t>
  </si>
  <si>
    <t>16/02/2026 - 27/03/2026</t>
  </si>
  <si>
    <t>Sprint 3</t>
  </si>
  <si>
    <t>30/03/2026 - 08/05/2026</t>
  </si>
  <si>
    <t>Sprint 4</t>
  </si>
  <si>
    <t>11/05/2026 - 19/06/2026</t>
  </si>
  <si>
    <t>Sprint 5</t>
  </si>
  <si>
    <t>22/06/2026 - 31/07/2026</t>
  </si>
  <si>
    <t>Sprint 6</t>
  </si>
  <si>
    <t>03/08/2026 - 11/09/2026</t>
  </si>
  <si>
    <t>Sprint 7</t>
  </si>
  <si>
    <t>14/09/2026 - 23/10/2026</t>
  </si>
  <si>
    <t>Sprint 8</t>
  </si>
  <si>
    <t>26/10/2026 - 06/11/2026</t>
  </si>
  <si>
    <t>Sprint 9</t>
  </si>
  <si>
    <t>09/11/2026 - 20/11/2026</t>
  </si>
  <si>
    <t>Sprint 10</t>
  </si>
  <si>
    <t>23/11/2026 - 04/12/2026</t>
  </si>
  <si>
    <t>Sprint 11</t>
  </si>
  <si>
    <t>07/12/2026 - 18/12/2026</t>
  </si>
  <si>
    <t>Sprint 12</t>
  </si>
  <si>
    <t>21/12/2026 - 01/01/2027</t>
  </si>
  <si>
    <t>Sprint 13</t>
  </si>
  <si>
    <t>04/01/2027 - 15/01/2027</t>
  </si>
  <si>
    <t>TOTAL</t>
  </si>
  <si>
    <t>COSTOS DE INFRAESTRUCTURA TECNOLOGICA</t>
  </si>
  <si>
    <t>Duracion del proyecto: 13 meses (enero 2026 - enero 2027)</t>
  </si>
  <si>
    <t>Recurso</t>
  </si>
  <si>
    <t>Proveedor</t>
  </si>
  <si>
    <t>Despliegue Backend</t>
  </si>
  <si>
    <t>Render (Pro)</t>
  </si>
  <si>
    <t>Base de datos PostgreSQL</t>
  </si>
  <si>
    <t>Supabase / Neon</t>
  </si>
  <si>
    <t>Redis (colas/cache - proyeccion)</t>
  </si>
  <si>
    <t>Upstash</t>
  </si>
  <si>
    <t>Monitoreo / logs</t>
  </si>
  <si>
    <t>Sentry</t>
  </si>
  <si>
    <t>Almacenamiento de imagenes</t>
  </si>
  <si>
    <t>Cloudinary</t>
  </si>
  <si>
    <t>COSTOS DE LICENCIAS Y HERRAMIENTAS</t>
  </si>
  <si>
    <t>Herramienta</t>
  </si>
  <si>
    <t>Plan</t>
  </si>
  <si>
    <t>GitHub</t>
  </si>
  <si>
    <t>Team (2 usuarios)</t>
  </si>
  <si>
    <t>Azure DevOps</t>
  </si>
  <si>
    <t>Free (hasta 5 usuarios)</t>
  </si>
  <si>
    <t>Figma</t>
  </si>
  <si>
    <t>Free (2 usuarios)</t>
  </si>
  <si>
    <t>VS Code</t>
  </si>
  <si>
    <t>Open Source</t>
  </si>
  <si>
    <t>Postman</t>
  </si>
  <si>
    <t>Free</t>
  </si>
  <si>
    <t>Node.js / React / PostgreSQL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</si>
</sst>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7">
    <font>
      <sz val="11.0"/>
      <color theme="1"/>
      <name val="Calibri"/>
      <scheme val="minor"/>
    </font>
    <font>
      <b/>
      <sz val="12.0"/>
      <color theme="1"/>
      <name val="Arial"/>
    </font>
    <font/>
    <font>
      <b/>
      <sz val="12.0"/>
      <color rgb="FFFFFFFF"/>
      <name val="Arial"/>
    </font>
    <font>
      <sz val="12.0"/>
      <color theme="1"/>
      <name val="Arial"/>
    </font>
    <font>
      <b/>
      <sz val="12.0"/>
      <color rgb="FF1F4E79"/>
      <name val="Arial"/>
    </font>
    <font>
      <sz val="12.0"/>
      <color rgb="FF66666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8064A2"/>
        <bgColor rgb="FF8064A2"/>
      </patternFill>
    </fill>
    <fill>
      <patternFill patternType="solid">
        <fgColor rgb="FFE8F0FE"/>
        <bgColor rgb="FFE8F0FE"/>
      </patternFill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808080"/>
      </right>
      <top/>
      <bottom style="thin">
        <color rgb="FF808080"/>
      </bottom>
    </border>
    <border>
      <left style="thin">
        <color rgb="FF808080"/>
      </left>
      <right style="thin">
        <color rgb="FF808080"/>
      </right>
      <top/>
      <bottom style="thin">
        <color rgb="FF808080"/>
      </bottom>
    </border>
    <border>
      <left style="thin">
        <color rgb="FF808080"/>
      </left>
      <right style="thick">
        <color rgb="FF000000"/>
      </right>
      <top/>
      <bottom style="thin">
        <color rgb="FF808080"/>
      </bottom>
    </border>
    <border>
      <left style="thick">
        <color rgb="FF00000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ck">
        <color rgb="FF000000"/>
      </right>
      <top style="thin">
        <color rgb="FF808080"/>
      </top>
      <bottom style="thin">
        <color rgb="FF808080"/>
      </bottom>
    </border>
    <border>
      <left style="thick">
        <color rgb="FF000000"/>
      </left>
      <right style="thin">
        <color rgb="FF808080"/>
      </right>
      <top style="thin">
        <color rgb="FF808080"/>
      </top>
      <bottom style="thick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ck">
        <color rgb="FF000000"/>
      </bottom>
    </border>
    <border>
      <left style="thin">
        <color rgb="FF808080"/>
      </left>
      <right style="thick">
        <color rgb="FF000000"/>
      </right>
      <top style="thin">
        <color rgb="FF80808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808080"/>
      </top>
      <bottom style="thick">
        <color rgb="FF000000"/>
      </bottom>
    </border>
    <border>
      <right style="thin">
        <color rgb="FF808080"/>
      </right>
      <top style="thin">
        <color rgb="FF808080"/>
      </top>
      <bottom style="thick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ill="1" applyFont="1">
      <alignment horizontal="center"/>
    </xf>
    <xf borderId="8" fillId="2" fontId="3" numFmtId="0" xfId="0" applyAlignment="1" applyBorder="1" applyFont="1">
      <alignment horizontal="center"/>
    </xf>
    <xf borderId="9" fillId="2" fontId="3" numFmtId="0" xfId="0" applyAlignment="1" applyBorder="1" applyFont="1">
      <alignment horizontal="center"/>
    </xf>
    <xf borderId="10" fillId="0" fontId="4" numFmtId="0" xfId="0" applyBorder="1" applyFont="1"/>
    <xf borderId="11" fillId="0" fontId="4" numFmtId="164" xfId="0" applyBorder="1" applyFont="1" applyNumberFormat="1"/>
    <xf borderId="11" fillId="0" fontId="4" numFmtId="0" xfId="0" applyAlignment="1" applyBorder="1" applyFont="1">
      <alignment horizontal="center"/>
    </xf>
    <xf borderId="12" fillId="0" fontId="4" numFmtId="164" xfId="0" applyBorder="1" applyFont="1" applyNumberFormat="1"/>
    <xf borderId="10" fillId="3" fontId="1" numFmtId="0" xfId="0" applyBorder="1" applyFill="1" applyFont="1"/>
    <xf borderId="11" fillId="3" fontId="4" numFmtId="0" xfId="0" applyBorder="1" applyFont="1"/>
    <xf borderId="12" fillId="3" fontId="1" numFmtId="164" xfId="0" applyBorder="1" applyFont="1" applyNumberFormat="1"/>
    <xf borderId="11" fillId="0" fontId="4" numFmtId="9" xfId="0" applyBorder="1" applyFont="1" applyNumberFormat="1"/>
    <xf borderId="11" fillId="0" fontId="4" numFmtId="0" xfId="0" applyBorder="1" applyFont="1"/>
    <xf borderId="13" fillId="4" fontId="5" numFmtId="0" xfId="0" applyBorder="1" applyFill="1" applyFont="1"/>
    <xf borderId="14" fillId="4" fontId="4" numFmtId="0" xfId="0" applyBorder="1" applyFont="1"/>
    <xf borderId="15" fillId="4" fontId="5" numFmtId="164" xfId="0" applyBorder="1" applyFont="1" applyNumberFormat="1"/>
    <xf borderId="0" fillId="0" fontId="6" numFmtId="0" xfId="0" applyAlignment="1" applyFont="1">
      <alignment horizontal="center" vertical="center"/>
    </xf>
    <xf borderId="16" fillId="0" fontId="1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7" fillId="2" fontId="3" numFmtId="0" xfId="0" applyAlignment="1" applyBorder="1" applyFont="1">
      <alignment horizontal="center" shrinkToFit="0" wrapText="1"/>
    </xf>
    <xf borderId="8" fillId="2" fontId="3" numFmtId="0" xfId="0" applyAlignment="1" applyBorder="1" applyFont="1">
      <alignment horizontal="center" shrinkToFit="0" wrapText="1"/>
    </xf>
    <xf borderId="9" fillId="2" fontId="3" numFmtId="0" xfId="0" applyAlignment="1" applyBorder="1" applyFont="1">
      <alignment horizontal="center" shrinkToFit="0" wrapText="1"/>
    </xf>
    <xf borderId="10" fillId="5" fontId="1" numFmtId="0" xfId="0" applyBorder="1" applyFill="1" applyFont="1"/>
    <xf borderId="11" fillId="5" fontId="4" numFmtId="0" xfId="0" applyBorder="1" applyFont="1"/>
    <xf borderId="11" fillId="5" fontId="4" numFmtId="164" xfId="0" applyBorder="1" applyFont="1" applyNumberFormat="1"/>
    <xf borderId="12" fillId="5" fontId="4" numFmtId="164" xfId="0" applyBorder="1" applyFont="1" applyNumberFormat="1"/>
    <xf borderId="10" fillId="6" fontId="1" numFmtId="0" xfId="0" applyBorder="1" applyFill="1" applyFont="1"/>
    <xf borderId="11" fillId="6" fontId="4" numFmtId="0" xfId="0" applyBorder="1" applyFont="1"/>
    <xf borderId="11" fillId="6" fontId="4" numFmtId="164" xfId="0" applyBorder="1" applyFont="1" applyNumberFormat="1"/>
    <xf borderId="12" fillId="6" fontId="4" numFmtId="164" xfId="0" applyBorder="1" applyFont="1" applyNumberFormat="1"/>
    <xf borderId="19" fillId="4" fontId="5" numFmtId="0" xfId="0" applyBorder="1" applyFont="1"/>
    <xf borderId="20" fillId="0" fontId="2" numFmtId="0" xfId="0" applyBorder="1" applyFont="1"/>
    <xf borderId="14" fillId="4" fontId="1" numFmtId="164" xfId="0" applyBorder="1" applyFont="1" applyNumberFormat="1"/>
    <xf borderId="15" fillId="4" fontId="1" numFmtId="164" xfId="0" applyBorder="1" applyFont="1" applyNumberFormat="1"/>
    <xf borderId="1" fillId="0" fontId="1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10" fillId="5" fontId="4" numFmtId="0" xfId="0" applyBorder="1" applyFont="1"/>
    <xf borderId="10" fillId="6" fontId="4" numFmtId="0" xfId="0" applyBorder="1" applyFont="1"/>
    <xf borderId="13" fillId="4" fontId="1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22.0"/>
    <col customWidth="1" min="3" max="3" width="10.0"/>
    <col customWidth="1" min="4" max="4" width="22.0"/>
    <col customWidth="1" min="5" max="26" width="8.71"/>
  </cols>
  <sheetData>
    <row r="1" ht="15.0" customHeight="1">
      <c r="A1" s="1" t="s">
        <v>0</v>
      </c>
      <c r="B1" s="2"/>
      <c r="C1" s="2"/>
      <c r="D1" s="3"/>
    </row>
    <row r="2" ht="15.0" customHeight="1">
      <c r="A2" s="4"/>
      <c r="B2" s="5"/>
      <c r="C2" s="5"/>
      <c r="D2" s="6"/>
    </row>
    <row r="3" ht="14.25" customHeight="1">
      <c r="A3" s="7" t="s">
        <v>1</v>
      </c>
      <c r="B3" s="8" t="s">
        <v>2</v>
      </c>
      <c r="C3" s="8" t="s">
        <v>3</v>
      </c>
      <c r="D3" s="9" t="s">
        <v>4</v>
      </c>
    </row>
    <row r="4" ht="14.25" customHeight="1">
      <c r="A4" s="10" t="s">
        <v>5</v>
      </c>
      <c r="B4" s="11">
        <v>6400000.0</v>
      </c>
      <c r="C4" s="12">
        <v>13.0</v>
      </c>
      <c r="D4" s="13">
        <f t="shared" ref="D4:D6" si="1">B4*C4</f>
        <v>83200000</v>
      </c>
    </row>
    <row r="5" ht="14.25" customHeight="1">
      <c r="A5" s="10" t="s">
        <v>6</v>
      </c>
      <c r="B5" s="11">
        <v>336000.0</v>
      </c>
      <c r="C5" s="12">
        <v>13.0</v>
      </c>
      <c r="D5" s="13">
        <f t="shared" si="1"/>
        <v>4368000</v>
      </c>
    </row>
    <row r="6" ht="14.25" customHeight="1">
      <c r="A6" s="10" t="s">
        <v>7</v>
      </c>
      <c r="B6" s="11">
        <v>67000.0</v>
      </c>
      <c r="C6" s="12">
        <v>13.0</v>
      </c>
      <c r="D6" s="13">
        <f t="shared" si="1"/>
        <v>871000</v>
      </c>
    </row>
    <row r="7" ht="14.25" customHeight="1">
      <c r="A7" s="14" t="s">
        <v>8</v>
      </c>
      <c r="B7" s="15"/>
      <c r="C7" s="15"/>
      <c r="D7" s="16">
        <f>SUM(D4:D6)</f>
        <v>88439000</v>
      </c>
    </row>
    <row r="8" ht="14.25" customHeight="1">
      <c r="A8" s="10" t="s">
        <v>9</v>
      </c>
      <c r="B8" s="17">
        <v>0.15</v>
      </c>
      <c r="C8" s="18"/>
      <c r="D8" s="13">
        <f>D7*B8</f>
        <v>13265850</v>
      </c>
    </row>
    <row r="9" ht="14.25" customHeight="1">
      <c r="A9" s="19" t="s">
        <v>10</v>
      </c>
      <c r="B9" s="20"/>
      <c r="C9" s="20"/>
      <c r="D9" s="21">
        <f>D7+D8</f>
        <v>101704850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>
      <c r="B16" s="22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30.0"/>
    <col customWidth="1" min="3" max="4" width="22.0"/>
    <col customWidth="1" min="5" max="5" width="18.0"/>
    <col customWidth="1" min="6" max="6" width="24.0"/>
    <col customWidth="1" min="7" max="26" width="8.71"/>
  </cols>
  <sheetData>
    <row r="1" ht="14.25" customHeight="1">
      <c r="A1" s="23" t="s">
        <v>11</v>
      </c>
      <c r="B1" s="24"/>
      <c r="C1" s="24"/>
      <c r="D1" s="24"/>
      <c r="E1" s="24"/>
      <c r="F1" s="25"/>
    </row>
    <row r="2" ht="14.25" customHeight="1">
      <c r="A2" s="26" t="s">
        <v>12</v>
      </c>
      <c r="B2" s="27" t="s">
        <v>13</v>
      </c>
      <c r="C2" s="27" t="s">
        <v>14</v>
      </c>
      <c r="D2" s="27" t="s">
        <v>15</v>
      </c>
      <c r="E2" s="27" t="s">
        <v>16</v>
      </c>
      <c r="F2" s="28" t="s">
        <v>17</v>
      </c>
    </row>
    <row r="3" ht="14.25" customHeight="1">
      <c r="A3" s="29" t="s">
        <v>18</v>
      </c>
      <c r="B3" s="30" t="s">
        <v>19</v>
      </c>
      <c r="C3" s="31">
        <f>'Resumen Consolidado'!B4</f>
        <v>6400000</v>
      </c>
      <c r="D3" s="31">
        <f>'Resumen Consolidado'!B5</f>
        <v>336000</v>
      </c>
      <c r="E3" s="31">
        <f>'Resumen Consolidado'!B6</f>
        <v>67000</v>
      </c>
      <c r="F3" s="32">
        <f t="shared" ref="F3:F15" si="1">SUM(C3:E3)</f>
        <v>6803000</v>
      </c>
    </row>
    <row r="4" ht="14.25" customHeight="1">
      <c r="A4" s="33" t="s">
        <v>20</v>
      </c>
      <c r="B4" s="34" t="s">
        <v>21</v>
      </c>
      <c r="C4" s="35">
        <f>'Resumen Consolidado'!B4</f>
        <v>6400000</v>
      </c>
      <c r="D4" s="35">
        <f>'Resumen Consolidado'!B5</f>
        <v>336000</v>
      </c>
      <c r="E4" s="35">
        <f>'Resumen Consolidado'!B6</f>
        <v>67000</v>
      </c>
      <c r="F4" s="36">
        <f t="shared" si="1"/>
        <v>6803000</v>
      </c>
    </row>
    <row r="5" ht="14.25" customHeight="1">
      <c r="A5" s="29" t="s">
        <v>22</v>
      </c>
      <c r="B5" s="30" t="s">
        <v>23</v>
      </c>
      <c r="C5" s="31">
        <f>'Resumen Consolidado'!B4</f>
        <v>6400000</v>
      </c>
      <c r="D5" s="31">
        <f>'Resumen Consolidado'!B5</f>
        <v>336000</v>
      </c>
      <c r="E5" s="31">
        <f>'Resumen Consolidado'!B6</f>
        <v>67000</v>
      </c>
      <c r="F5" s="32">
        <f t="shared" si="1"/>
        <v>6803000</v>
      </c>
    </row>
    <row r="6" ht="14.25" customHeight="1">
      <c r="A6" s="33" t="s">
        <v>24</v>
      </c>
      <c r="B6" s="34" t="s">
        <v>25</v>
      </c>
      <c r="C6" s="35">
        <f>'Resumen Consolidado'!B4</f>
        <v>6400000</v>
      </c>
      <c r="D6" s="35">
        <f>'Resumen Consolidado'!B5</f>
        <v>336000</v>
      </c>
      <c r="E6" s="35">
        <f>'Resumen Consolidado'!B6</f>
        <v>67000</v>
      </c>
      <c r="F6" s="36">
        <f t="shared" si="1"/>
        <v>6803000</v>
      </c>
    </row>
    <row r="7" ht="14.25" customHeight="1">
      <c r="A7" s="29" t="s">
        <v>26</v>
      </c>
      <c r="B7" s="30" t="s">
        <v>27</v>
      </c>
      <c r="C7" s="31">
        <f>'Resumen Consolidado'!B4</f>
        <v>6400000</v>
      </c>
      <c r="D7" s="31">
        <f>'Resumen Consolidado'!B5</f>
        <v>336000</v>
      </c>
      <c r="E7" s="31">
        <f>'Resumen Consolidado'!B6</f>
        <v>67000</v>
      </c>
      <c r="F7" s="32">
        <f t="shared" si="1"/>
        <v>6803000</v>
      </c>
    </row>
    <row r="8" ht="14.25" customHeight="1">
      <c r="A8" s="33" t="s">
        <v>28</v>
      </c>
      <c r="B8" s="34" t="s">
        <v>29</v>
      </c>
      <c r="C8" s="35">
        <f>'Resumen Consolidado'!B4</f>
        <v>6400000</v>
      </c>
      <c r="D8" s="35">
        <f>'Resumen Consolidado'!B5</f>
        <v>336000</v>
      </c>
      <c r="E8" s="35">
        <f>'Resumen Consolidado'!B6</f>
        <v>67000</v>
      </c>
      <c r="F8" s="36">
        <f t="shared" si="1"/>
        <v>6803000</v>
      </c>
    </row>
    <row r="9" ht="14.25" customHeight="1">
      <c r="A9" s="29" t="s">
        <v>30</v>
      </c>
      <c r="B9" s="30" t="s">
        <v>31</v>
      </c>
      <c r="C9" s="31">
        <f>'Resumen Consolidado'!B4</f>
        <v>6400000</v>
      </c>
      <c r="D9" s="31">
        <f>'Resumen Consolidado'!B5</f>
        <v>336000</v>
      </c>
      <c r="E9" s="31">
        <f>'Resumen Consolidado'!B6</f>
        <v>67000</v>
      </c>
      <c r="F9" s="32">
        <f t="shared" si="1"/>
        <v>6803000</v>
      </c>
    </row>
    <row r="10" ht="14.25" customHeight="1">
      <c r="A10" s="33" t="s">
        <v>32</v>
      </c>
      <c r="B10" s="34" t="s">
        <v>33</v>
      </c>
      <c r="C10" s="35">
        <f>'Resumen Consolidado'!B4</f>
        <v>6400000</v>
      </c>
      <c r="D10" s="35">
        <f>'Resumen Consolidado'!B5</f>
        <v>336000</v>
      </c>
      <c r="E10" s="35">
        <f>'Resumen Consolidado'!B6</f>
        <v>67000</v>
      </c>
      <c r="F10" s="36">
        <f t="shared" si="1"/>
        <v>6803000</v>
      </c>
    </row>
    <row r="11" ht="14.25" customHeight="1">
      <c r="A11" s="29" t="s">
        <v>34</v>
      </c>
      <c r="B11" s="30" t="s">
        <v>35</v>
      </c>
      <c r="C11" s="31">
        <f>'Resumen Consolidado'!B4</f>
        <v>6400000</v>
      </c>
      <c r="D11" s="31">
        <f>'Resumen Consolidado'!B5</f>
        <v>336000</v>
      </c>
      <c r="E11" s="31">
        <f>'Resumen Consolidado'!B6</f>
        <v>67000</v>
      </c>
      <c r="F11" s="32">
        <f t="shared" si="1"/>
        <v>6803000</v>
      </c>
    </row>
    <row r="12" ht="14.25" customHeight="1">
      <c r="A12" s="33" t="s">
        <v>36</v>
      </c>
      <c r="B12" s="34" t="s">
        <v>37</v>
      </c>
      <c r="C12" s="35">
        <f>'Resumen Consolidado'!B4</f>
        <v>6400000</v>
      </c>
      <c r="D12" s="35">
        <f>'Resumen Consolidado'!B5</f>
        <v>336000</v>
      </c>
      <c r="E12" s="35">
        <f>'Resumen Consolidado'!B6</f>
        <v>67000</v>
      </c>
      <c r="F12" s="36">
        <f t="shared" si="1"/>
        <v>6803000</v>
      </c>
    </row>
    <row r="13" ht="14.25" customHeight="1">
      <c r="A13" s="29" t="s">
        <v>38</v>
      </c>
      <c r="B13" s="30" t="s">
        <v>39</v>
      </c>
      <c r="C13" s="31">
        <f>'Resumen Consolidado'!B4</f>
        <v>6400000</v>
      </c>
      <c r="D13" s="31">
        <f>'Resumen Consolidado'!B5</f>
        <v>336000</v>
      </c>
      <c r="E13" s="31">
        <f>'Resumen Consolidado'!B6</f>
        <v>67000</v>
      </c>
      <c r="F13" s="32">
        <f t="shared" si="1"/>
        <v>6803000</v>
      </c>
    </row>
    <row r="14" ht="14.25" customHeight="1">
      <c r="A14" s="33" t="s">
        <v>40</v>
      </c>
      <c r="B14" s="34" t="s">
        <v>41</v>
      </c>
      <c r="C14" s="35">
        <f>'Resumen Consolidado'!B4</f>
        <v>6400000</v>
      </c>
      <c r="D14" s="35">
        <f>'Resumen Consolidado'!B5</f>
        <v>336000</v>
      </c>
      <c r="E14" s="35">
        <f>'Resumen Consolidado'!B6</f>
        <v>67000</v>
      </c>
      <c r="F14" s="36">
        <f t="shared" si="1"/>
        <v>6803000</v>
      </c>
    </row>
    <row r="15" ht="14.25" customHeight="1">
      <c r="A15" s="29" t="s">
        <v>42</v>
      </c>
      <c r="B15" s="30" t="s">
        <v>43</v>
      </c>
      <c r="C15" s="31">
        <f>'Resumen Consolidado'!B4</f>
        <v>6400000</v>
      </c>
      <c r="D15" s="31">
        <f>'Resumen Consolidado'!B5</f>
        <v>336000</v>
      </c>
      <c r="E15" s="31">
        <f>'Resumen Consolidado'!B6</f>
        <v>67000</v>
      </c>
      <c r="F15" s="32">
        <f t="shared" si="1"/>
        <v>6803000</v>
      </c>
    </row>
    <row r="16" ht="14.25" customHeight="1">
      <c r="A16" s="37" t="s">
        <v>44</v>
      </c>
      <c r="B16" s="38"/>
      <c r="C16" s="39">
        <f t="shared" ref="C16:F16" si="2">SUM(C3:C15)</f>
        <v>83200000</v>
      </c>
      <c r="D16" s="39">
        <f t="shared" si="2"/>
        <v>4368000</v>
      </c>
      <c r="E16" s="39">
        <f t="shared" si="2"/>
        <v>871000</v>
      </c>
      <c r="F16" s="40">
        <f t="shared" si="2"/>
        <v>88439000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16:B1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07C10"/>
    <pageSetUpPr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2" max="2" width="20.0"/>
    <col customWidth="1" min="3" max="4" width="22.0"/>
    <col customWidth="1" min="5" max="26" width="8.71"/>
  </cols>
  <sheetData>
    <row r="1" ht="14.25" customHeight="1">
      <c r="A1" s="41" t="s">
        <v>45</v>
      </c>
      <c r="B1" s="2"/>
      <c r="C1" s="2"/>
      <c r="D1" s="3"/>
    </row>
    <row r="2" ht="14.25" customHeight="1">
      <c r="A2" s="42" t="s">
        <v>46</v>
      </c>
      <c r="B2" s="5"/>
      <c r="C2" s="5"/>
      <c r="D2" s="6"/>
    </row>
    <row r="3" ht="14.25" customHeight="1">
      <c r="A3" s="7" t="s">
        <v>47</v>
      </c>
      <c r="B3" s="8" t="s">
        <v>48</v>
      </c>
      <c r="C3" s="8" t="s">
        <v>2</v>
      </c>
      <c r="D3" s="9" t="s">
        <v>4</v>
      </c>
    </row>
    <row r="4" ht="14.25" customHeight="1">
      <c r="A4" s="43" t="s">
        <v>49</v>
      </c>
      <c r="B4" s="30" t="s">
        <v>50</v>
      </c>
      <c r="C4" s="31">
        <v>84000.0</v>
      </c>
      <c r="D4" s="32">
        <f t="shared" ref="D4:D8" si="1">C4*13</f>
        <v>1092000</v>
      </c>
    </row>
    <row r="5" ht="14.25" customHeight="1">
      <c r="A5" s="44" t="s">
        <v>51</v>
      </c>
      <c r="B5" s="34" t="s">
        <v>52</v>
      </c>
      <c r="C5" s="35">
        <v>105000.0</v>
      </c>
      <c r="D5" s="36">
        <f t="shared" si="1"/>
        <v>1365000</v>
      </c>
    </row>
    <row r="6" ht="14.25" customHeight="1">
      <c r="A6" s="43" t="s">
        <v>53</v>
      </c>
      <c r="B6" s="30" t="s">
        <v>54</v>
      </c>
      <c r="C6" s="31">
        <v>63000.0</v>
      </c>
      <c r="D6" s="32">
        <f t="shared" si="1"/>
        <v>819000</v>
      </c>
    </row>
    <row r="7" ht="14.25" customHeight="1">
      <c r="A7" s="44" t="s">
        <v>55</v>
      </c>
      <c r="B7" s="34" t="s">
        <v>56</v>
      </c>
      <c r="C7" s="35">
        <v>42000.0</v>
      </c>
      <c r="D7" s="36">
        <f t="shared" si="1"/>
        <v>546000</v>
      </c>
    </row>
    <row r="8" ht="14.25" customHeight="1">
      <c r="A8" s="43" t="s">
        <v>57</v>
      </c>
      <c r="B8" s="30" t="s">
        <v>58</v>
      </c>
      <c r="C8" s="31">
        <v>42000.0</v>
      </c>
      <c r="D8" s="32">
        <f t="shared" si="1"/>
        <v>546000</v>
      </c>
    </row>
    <row r="9" ht="14.25" customHeight="1">
      <c r="A9" s="45" t="s">
        <v>44</v>
      </c>
      <c r="B9" s="20"/>
      <c r="C9" s="39">
        <f t="shared" ref="C9:D9" si="2">SUM(C4:C8)</f>
        <v>336000</v>
      </c>
      <c r="D9" s="40">
        <f t="shared" si="2"/>
        <v>4368000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4.71"/>
    <col customWidth="1" min="3" max="3" width="24.57"/>
    <col customWidth="1" min="4" max="4" width="22.0"/>
    <col customWidth="1" min="5" max="26" width="8.71"/>
  </cols>
  <sheetData>
    <row r="1" ht="14.25" customHeight="1">
      <c r="A1" s="41" t="s">
        <v>59</v>
      </c>
      <c r="B1" s="2"/>
      <c r="C1" s="2"/>
      <c r="D1" s="3"/>
    </row>
    <row r="2" ht="14.25" customHeight="1">
      <c r="A2" s="46"/>
      <c r="B2" s="47"/>
      <c r="C2" s="47"/>
      <c r="D2" s="48"/>
    </row>
    <row r="3" ht="14.25" customHeight="1">
      <c r="A3" s="7" t="s">
        <v>60</v>
      </c>
      <c r="B3" s="8" t="s">
        <v>61</v>
      </c>
      <c r="C3" s="8" t="s">
        <v>2</v>
      </c>
      <c r="D3" s="9" t="s">
        <v>4</v>
      </c>
    </row>
    <row r="4" ht="14.25" customHeight="1">
      <c r="A4" s="43" t="s">
        <v>62</v>
      </c>
      <c r="B4" s="30" t="s">
        <v>63</v>
      </c>
      <c r="C4" s="31">
        <v>67000.0</v>
      </c>
      <c r="D4" s="32">
        <f t="shared" ref="D4:D9" si="1">C4*13</f>
        <v>871000</v>
      </c>
    </row>
    <row r="5" ht="14.25" customHeight="1">
      <c r="A5" s="44" t="s">
        <v>64</v>
      </c>
      <c r="B5" s="34" t="s">
        <v>65</v>
      </c>
      <c r="C5" s="35">
        <v>0.0</v>
      </c>
      <c r="D5" s="36">
        <f t="shared" si="1"/>
        <v>0</v>
      </c>
    </row>
    <row r="6" ht="14.25" customHeight="1">
      <c r="A6" s="43" t="s">
        <v>66</v>
      </c>
      <c r="B6" s="30" t="s">
        <v>67</v>
      </c>
      <c r="C6" s="31">
        <v>0.0</v>
      </c>
      <c r="D6" s="32">
        <f t="shared" si="1"/>
        <v>0</v>
      </c>
    </row>
    <row r="7" ht="14.25" customHeight="1">
      <c r="A7" s="44" t="s">
        <v>68</v>
      </c>
      <c r="B7" s="34" t="s">
        <v>69</v>
      </c>
      <c r="C7" s="35">
        <v>0.0</v>
      </c>
      <c r="D7" s="36">
        <f t="shared" si="1"/>
        <v>0</v>
      </c>
    </row>
    <row r="8" ht="14.25" customHeight="1">
      <c r="A8" s="43" t="s">
        <v>70</v>
      </c>
      <c r="B8" s="30" t="s">
        <v>71</v>
      </c>
      <c r="C8" s="31">
        <v>0.0</v>
      </c>
      <c r="D8" s="32">
        <f t="shared" si="1"/>
        <v>0</v>
      </c>
    </row>
    <row r="9" ht="14.25" customHeight="1">
      <c r="A9" s="44" t="s">
        <v>72</v>
      </c>
      <c r="B9" s="34" t="s">
        <v>69</v>
      </c>
      <c r="C9" s="35">
        <v>0.0</v>
      </c>
      <c r="D9" s="36">
        <f t="shared" si="1"/>
        <v>0</v>
      </c>
    </row>
    <row r="10" ht="14.25" customHeight="1">
      <c r="A10" s="45" t="s">
        <v>44</v>
      </c>
      <c r="B10" s="20"/>
      <c r="C10" s="39">
        <f t="shared" ref="C10:D10" si="2">SUM(C4:C9)</f>
        <v>67000</v>
      </c>
      <c r="D10" s="40">
        <f t="shared" si="2"/>
        <v>871000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2026-06-24T02:29:31Z</dcterms:created>
  <dc:creator>openpyxl</dc:creator>
</cp:coreProperties>
</file>