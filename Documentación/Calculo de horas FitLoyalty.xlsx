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b1N6suz8VUjHq9tk1n2aZQ9838dnoBeSTk2mZL2WzlA="/>
    </ext>
  </extLst>
</workbook>
</file>

<file path=xl/sharedStrings.xml><?xml version="1.0" encoding="utf-8"?>
<sst xmlns="http://schemas.openxmlformats.org/spreadsheetml/2006/main" count="183" uniqueCount="87">
  <si>
    <t>SPRINT 1</t>
  </si>
  <si>
    <t>Usuarios</t>
  </si>
  <si>
    <t>Semanas destinadas</t>
  </si>
  <si>
    <t>HISTORIA DE USUARIO</t>
  </si>
  <si>
    <t>PUNTAJE</t>
  </si>
  <si>
    <t>INTEGRANTES</t>
  </si>
  <si>
    <t>DÍAS DEDICADOS A LA HISTORIA</t>
  </si>
  <si>
    <t>HORAS DEL DÍA</t>
  </si>
  <si>
    <t>CAPACIDAD TOTAL (HORAS)</t>
  </si>
  <si>
    <t xml:space="preserve">VELOCIDAD </t>
  </si>
  <si>
    <t>HU-01: Crear cuenta de usuario</t>
  </si>
  <si>
    <t>HU-02: Consultar cuentas de personal</t>
  </si>
  <si>
    <t>HU-03: Editar cuenta de personal</t>
  </si>
  <si>
    <t>HU-04: Eliminar cuenta de personal</t>
  </si>
  <si>
    <t>SPRINT 2</t>
  </si>
  <si>
    <t>Autenticación y Miembros</t>
  </si>
  <si>
    <t>HU-05: Iniciar sesión</t>
  </si>
  <si>
    <t>HU-06: Cerrar sesión</t>
  </si>
  <si>
    <t>HU-07: Registrar perfil de miembro</t>
  </si>
  <si>
    <t>HU-08: Consultar perfil de miembro</t>
  </si>
  <si>
    <t>SPRINT 3</t>
  </si>
  <si>
    <t>Gestión de Miembros y Membresía</t>
  </si>
  <si>
    <t>HU-09: Editar perfil de miembro</t>
  </si>
  <si>
    <t>HU-10: Desactivar perfil de miembro</t>
  </si>
  <si>
    <t>HU-11: Registrar membresía</t>
  </si>
  <si>
    <t>HU-12: Consultar estado de membresía</t>
  </si>
  <si>
    <t>SPRINT 4</t>
  </si>
  <si>
    <t>Check-in y Dashboard</t>
  </si>
  <si>
    <t>HU-13: Actualizar membresía auto.</t>
  </si>
  <si>
    <t>HU-14: Check-in código QR/barras</t>
  </si>
  <si>
    <t>HU-15: Validar membresía en check-in</t>
  </si>
  <si>
    <t>HU-16: Dashboard métricas del día</t>
  </si>
  <si>
    <t>SPRINT 5</t>
  </si>
  <si>
    <t>Dashboard y Alertas</t>
  </si>
  <si>
    <t>HU-17: Detectar miembros inactivos</t>
  </si>
  <si>
    <t>HU-18: Config. umbrales inactividad</t>
  </si>
  <si>
    <t>HU-19: Enviar mensaje retención</t>
  </si>
  <si>
    <t>HU-20: Historial mensajes retención</t>
  </si>
  <si>
    <t>SPRINT 6</t>
  </si>
  <si>
    <t>Campañas de Retención</t>
  </si>
  <si>
    <t>HU-21: Crear campaña segmentada</t>
  </si>
  <si>
    <t>HU-22: Consultar campañas</t>
  </si>
  <si>
    <t>HU-23: Editar campaña programada</t>
  </si>
  <si>
    <t>HU-24: Crear plantilla mensaje</t>
  </si>
  <si>
    <t>SPRINT 7</t>
  </si>
  <si>
    <t>Gamificación - Rachas</t>
  </si>
  <si>
    <t>HU-25: Calcular racha asistencia</t>
  </si>
  <si>
    <t>HU-26: Mensaje motivacional hito</t>
  </si>
  <si>
    <t>HU-27: Config. hitos asistencia</t>
  </si>
  <si>
    <t>HU-28: Crear reto asistencia</t>
  </si>
  <si>
    <t>SPRINT 8</t>
  </si>
  <si>
    <t>Gamificación - Retos</t>
  </si>
  <si>
    <t>HU-29: Consultar progreso reto</t>
  </si>
  <si>
    <t>HU-30: Editar reto asistencia</t>
  </si>
  <si>
    <t>HU-31: Notificar completar reto</t>
  </si>
  <si>
    <t>HU-32: Check-in manual admin.</t>
  </si>
  <si>
    <t>SPRINT 9</t>
  </si>
  <si>
    <t>Asistencia y Planes</t>
  </si>
  <si>
    <t>HU-33: Historial asistencia miembro</t>
  </si>
  <si>
    <t>HU-34: Listado asistencia del día</t>
  </si>
  <si>
    <t>HU-35: Crear plan membresía</t>
  </si>
  <si>
    <t>HU-36: Consultar planes membresía</t>
  </si>
  <si>
    <t>SPRINT 10</t>
  </si>
  <si>
    <t>Membresías Avanzadas</t>
  </si>
  <si>
    <t>HU-37: Editar plan membresía</t>
  </si>
  <si>
    <t>HU-38: Desactivar plan membresía</t>
  </si>
  <si>
    <t>HU-39: Congelar membresía</t>
  </si>
  <si>
    <t>HU-40: Renovar membresía vencida</t>
  </si>
  <si>
    <t>SPRINT 11</t>
  </si>
  <si>
    <t>Dashboard Avanzado</t>
  </si>
  <si>
    <t>HU-41: Gráfica horas pico</t>
  </si>
  <si>
    <t>HU-42: Membresías por vencer</t>
  </si>
  <si>
    <t>HU-43: Reporte asistencia período</t>
  </si>
  <si>
    <t>HU-44: Detección inactividad manual</t>
  </si>
  <si>
    <t>SPRINT 12</t>
  </si>
  <si>
    <t>Campañas y Etiquetas</t>
  </si>
  <si>
    <t>HU-45: Cancelar campaña</t>
  </si>
  <si>
    <t>HU-46: Eliminar plantilla mensaje</t>
  </si>
  <si>
    <t>HU-47: Asignar etiqueta miembro</t>
  </si>
  <si>
    <t>HU-48: Listar miembros por etiqueta</t>
  </si>
  <si>
    <t>SPRINT 13</t>
  </si>
  <si>
    <t>Retos y Configuración</t>
  </si>
  <si>
    <t>HU-49: Inscribir miembro a reto</t>
  </si>
  <si>
    <t>HU-50: Cancelar reto activo</t>
  </si>
  <si>
    <t>HU-51: Config. datos del gimnasio</t>
  </si>
  <si>
    <t>HU-52: Config. canal comunicación</t>
  </si>
  <si>
    <t>HU-53: Restablecer contraseña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</si>
</sst>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4.0"/>
      <color theme="1"/>
      <name val="Calibri"/>
    </font>
    <font>
      <b/>
      <sz val="14.0"/>
      <color theme="1"/>
      <name val="Calibri"/>
    </font>
    <font/>
    <font>
      <b/>
      <sz val="14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16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1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2" fontId="4" numFmtId="0" xfId="0" applyBorder="1" applyFill="1" applyFont="1"/>
    <xf borderId="6" fillId="2" fontId="4" numFmtId="0" xfId="0" applyAlignment="1" applyBorder="1" applyFont="1">
      <alignment horizontal="center"/>
    </xf>
    <xf borderId="6" fillId="2" fontId="4" numFmtId="0" xfId="0" applyBorder="1" applyFont="1"/>
    <xf borderId="7" fillId="2" fontId="4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2" fontId="4" numFmtId="0" xfId="0" applyBorder="1" applyFont="1"/>
    <xf borderId="5" fillId="0" fontId="1" numFmtId="0" xfId="0" applyBorder="1" applyFont="1"/>
    <xf borderId="6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vertical="center"/>
    </xf>
    <xf borderId="12" fillId="0" fontId="3" numFmtId="0" xfId="0" applyBorder="1" applyFont="1"/>
    <xf borderId="13" fillId="0" fontId="1" numFmtId="0" xfId="0" applyBorder="1" applyFont="1"/>
    <xf borderId="14" fillId="0" fontId="1" numFmtId="0" xfId="0" applyAlignment="1" applyBorder="1" applyFont="1">
      <alignment horizontal="center"/>
    </xf>
    <xf borderId="15" fillId="0" fontId="3" numFmtId="0" xfId="0" applyBorder="1" applyFont="1"/>
    <xf borderId="14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41.71"/>
    <col customWidth="1" min="3" max="3" width="11.86"/>
    <col customWidth="1" min="4" max="4" width="17.57"/>
    <col customWidth="1" min="5" max="5" width="36.43"/>
    <col customWidth="1" min="6" max="6" width="19.29"/>
    <col customWidth="1" min="7" max="7" width="32.43"/>
    <col customWidth="1" min="8" max="8" width="15.29"/>
    <col customWidth="1" min="9" max="9" width="11.14"/>
    <col customWidth="1" min="10" max="26" width="8.86"/>
  </cols>
  <sheetData>
    <row r="1" ht="14.25" customHeight="1"/>
    <row r="2" ht="14.25" customHeight="1">
      <c r="A2" s="1"/>
      <c r="B2" s="2" t="s">
        <v>0</v>
      </c>
      <c r="C2" s="3" t="s">
        <v>1</v>
      </c>
      <c r="D2" s="4"/>
      <c r="E2" s="4"/>
      <c r="F2" s="4"/>
      <c r="G2" s="4"/>
      <c r="H2" s="5"/>
      <c r="I2" s="1"/>
    </row>
    <row r="3" ht="14.25" customHeight="1">
      <c r="A3" s="1"/>
      <c r="B3" s="6" t="s">
        <v>2</v>
      </c>
      <c r="C3" s="7">
        <v>3.0</v>
      </c>
      <c r="D3" s="8" t="str">
        <f>IF(C3&gt;4,"No viable","Viable")</f>
        <v>Viable</v>
      </c>
      <c r="E3" s="9" t="str">
        <f>CONCATENATE("Las semanas destinadas son: "&amp; C3)</f>
        <v>Las semanas destinadas son: 3</v>
      </c>
      <c r="F3" s="10"/>
      <c r="G3" s="10"/>
      <c r="H3" s="11"/>
      <c r="I3" s="1"/>
    </row>
    <row r="4" ht="14.25" customHeight="1">
      <c r="A4" s="1"/>
      <c r="B4" s="6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12" t="s">
        <v>9</v>
      </c>
      <c r="I4" s="1"/>
    </row>
    <row r="5" ht="14.25" customHeight="1">
      <c r="A5" s="1"/>
      <c r="B5" s="13" t="s">
        <v>10</v>
      </c>
      <c r="C5" s="14">
        <v>5.0</v>
      </c>
      <c r="D5" s="14">
        <v>2.0</v>
      </c>
      <c r="E5" s="14">
        <v>3.0</v>
      </c>
      <c r="F5" s="15">
        <v>8.0</v>
      </c>
      <c r="G5" s="14">
        <f t="shared" ref="G5:G8" si="1">D5*E5*F5</f>
        <v>48</v>
      </c>
      <c r="H5" s="16">
        <f>AVERAGE(C5:C8)</f>
        <v>4</v>
      </c>
      <c r="I5" s="1"/>
    </row>
    <row r="6" ht="14.25" customHeight="1">
      <c r="A6" s="1"/>
      <c r="B6" s="13" t="s">
        <v>11</v>
      </c>
      <c r="C6" s="14">
        <v>3.0</v>
      </c>
      <c r="D6" s="14">
        <v>1.0</v>
      </c>
      <c r="E6" s="14">
        <v>2.0</v>
      </c>
      <c r="F6" s="14">
        <v>5.0</v>
      </c>
      <c r="G6" s="14">
        <f t="shared" si="1"/>
        <v>10</v>
      </c>
      <c r="H6" s="17"/>
      <c r="I6" s="1"/>
    </row>
    <row r="7" ht="14.25" customHeight="1">
      <c r="A7" s="1"/>
      <c r="B7" s="13" t="s">
        <v>12</v>
      </c>
      <c r="C7" s="14">
        <v>5.0</v>
      </c>
      <c r="D7" s="14">
        <v>2.0</v>
      </c>
      <c r="E7" s="14">
        <v>3.0</v>
      </c>
      <c r="F7" s="14">
        <v>5.5</v>
      </c>
      <c r="G7" s="14">
        <f t="shared" si="1"/>
        <v>33</v>
      </c>
      <c r="H7" s="17"/>
      <c r="I7" s="1"/>
    </row>
    <row r="8" ht="14.25" customHeight="1">
      <c r="A8" s="1"/>
      <c r="B8" s="18" t="s">
        <v>13</v>
      </c>
      <c r="C8" s="19">
        <v>3.0</v>
      </c>
      <c r="D8" s="19">
        <v>1.0</v>
      </c>
      <c r="E8" s="19">
        <v>2.0</v>
      </c>
      <c r="F8" s="19">
        <v>5.0</v>
      </c>
      <c r="G8" s="19">
        <f t="shared" si="1"/>
        <v>10</v>
      </c>
      <c r="H8" s="20"/>
      <c r="I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</row>
    <row r="10" ht="14.25" customHeight="1">
      <c r="A10" s="1"/>
      <c r="B10" s="2" t="s">
        <v>14</v>
      </c>
      <c r="C10" s="3" t="s">
        <v>15</v>
      </c>
      <c r="D10" s="4"/>
      <c r="E10" s="4"/>
      <c r="F10" s="4"/>
      <c r="G10" s="4"/>
      <c r="H10" s="5"/>
      <c r="I10" s="1"/>
    </row>
    <row r="11" ht="14.25" customHeight="1">
      <c r="A11" s="1"/>
      <c r="B11" s="6" t="s">
        <v>2</v>
      </c>
      <c r="C11" s="7">
        <v>3.0</v>
      </c>
      <c r="D11" s="8" t="str">
        <f>IF(C11&gt;4,"No viable","Viable")</f>
        <v>Viable</v>
      </c>
      <c r="E11" s="9" t="str">
        <f>CONCATENATE("Las semanas destinadas son: "&amp; C11)</f>
        <v>Las semanas destinadas son: 3</v>
      </c>
      <c r="F11" s="10"/>
      <c r="G11" s="10"/>
      <c r="H11" s="11"/>
      <c r="I11" s="1"/>
    </row>
    <row r="12" ht="14.25" customHeight="1">
      <c r="A12" s="1"/>
      <c r="B12" s="6" t="s">
        <v>3</v>
      </c>
      <c r="C12" s="8" t="s">
        <v>4</v>
      </c>
      <c r="D12" s="8" t="s">
        <v>5</v>
      </c>
      <c r="E12" s="8" t="s">
        <v>6</v>
      </c>
      <c r="F12" s="8" t="s">
        <v>7</v>
      </c>
      <c r="G12" s="8" t="s">
        <v>8</v>
      </c>
      <c r="H12" s="12" t="s">
        <v>9</v>
      </c>
      <c r="I12" s="1"/>
    </row>
    <row r="13" ht="14.25" customHeight="1">
      <c r="A13" s="1"/>
      <c r="B13" s="13" t="s">
        <v>16</v>
      </c>
      <c r="C13" s="14">
        <v>5.0</v>
      </c>
      <c r="D13" s="14">
        <v>2.0</v>
      </c>
      <c r="E13" s="14">
        <v>3.0</v>
      </c>
      <c r="F13" s="14">
        <v>5.5</v>
      </c>
      <c r="G13" s="14">
        <f t="shared" ref="G13:G16" si="2">D13*E13*F13</f>
        <v>33</v>
      </c>
      <c r="H13" s="16">
        <f>AVERAGE(C13:C16)</f>
        <v>6</v>
      </c>
      <c r="I13" s="1"/>
    </row>
    <row r="14" ht="14.25" customHeight="1">
      <c r="A14" s="1"/>
      <c r="B14" s="13" t="s">
        <v>17</v>
      </c>
      <c r="C14" s="14">
        <v>8.0</v>
      </c>
      <c r="D14" s="14">
        <v>2.0</v>
      </c>
      <c r="E14" s="14">
        <v>4.0</v>
      </c>
      <c r="F14" s="14">
        <v>5.5</v>
      </c>
      <c r="G14" s="14">
        <f t="shared" si="2"/>
        <v>44</v>
      </c>
      <c r="H14" s="17"/>
      <c r="I14" s="1"/>
    </row>
    <row r="15" ht="14.25" customHeight="1">
      <c r="A15" s="1"/>
      <c r="B15" s="13" t="s">
        <v>18</v>
      </c>
      <c r="C15" s="14">
        <v>8.0</v>
      </c>
      <c r="D15" s="14">
        <v>2.0</v>
      </c>
      <c r="E15" s="14">
        <v>4.0</v>
      </c>
      <c r="F15" s="14">
        <v>5.5</v>
      </c>
      <c r="G15" s="14">
        <f t="shared" si="2"/>
        <v>44</v>
      </c>
      <c r="H15" s="17"/>
      <c r="I15" s="1"/>
    </row>
    <row r="16" ht="14.25" customHeight="1">
      <c r="A16" s="1"/>
      <c r="B16" s="18" t="s">
        <v>19</v>
      </c>
      <c r="C16" s="19">
        <v>3.0</v>
      </c>
      <c r="D16" s="19">
        <v>1.0</v>
      </c>
      <c r="E16" s="19">
        <v>2.0</v>
      </c>
      <c r="F16" s="19">
        <v>5.0</v>
      </c>
      <c r="G16" s="19">
        <f t="shared" si="2"/>
        <v>10</v>
      </c>
      <c r="H16" s="20"/>
      <c r="I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</row>
    <row r="18" ht="14.25" customHeight="1">
      <c r="A18" s="1"/>
      <c r="B18" s="2" t="s">
        <v>20</v>
      </c>
      <c r="C18" s="3" t="s">
        <v>21</v>
      </c>
      <c r="D18" s="4"/>
      <c r="E18" s="4"/>
      <c r="F18" s="4"/>
      <c r="G18" s="4"/>
      <c r="H18" s="5"/>
      <c r="I18" s="1"/>
    </row>
    <row r="19" ht="14.25" customHeight="1">
      <c r="A19" s="1"/>
      <c r="B19" s="6" t="s">
        <v>2</v>
      </c>
      <c r="C19" s="7">
        <v>3.0</v>
      </c>
      <c r="D19" s="8" t="str">
        <f>IF(C19&gt;4,"No viable","Viable")</f>
        <v>Viable</v>
      </c>
      <c r="E19" s="9" t="str">
        <f>CONCATENATE("Las semanas destinadas son: "&amp; C19)</f>
        <v>Las semanas destinadas son: 3</v>
      </c>
      <c r="F19" s="10"/>
      <c r="G19" s="10"/>
      <c r="H19" s="11"/>
      <c r="I19" s="1"/>
    </row>
    <row r="20" ht="14.25" customHeight="1">
      <c r="A20" s="1"/>
      <c r="B20" s="6" t="s">
        <v>3</v>
      </c>
      <c r="C20" s="8" t="s">
        <v>4</v>
      </c>
      <c r="D20" s="8" t="s">
        <v>5</v>
      </c>
      <c r="E20" s="8" t="s">
        <v>6</v>
      </c>
      <c r="F20" s="8" t="s">
        <v>7</v>
      </c>
      <c r="G20" s="8" t="s">
        <v>8</v>
      </c>
      <c r="H20" s="12" t="s">
        <v>9</v>
      </c>
      <c r="I20" s="1"/>
    </row>
    <row r="21" ht="14.25" customHeight="1">
      <c r="A21" s="1"/>
      <c r="B21" s="13" t="s">
        <v>22</v>
      </c>
      <c r="C21" s="15">
        <v>6.0</v>
      </c>
      <c r="D21" s="14">
        <v>1.0</v>
      </c>
      <c r="E21" s="14">
        <v>2.0</v>
      </c>
      <c r="F21" s="14">
        <v>5.0</v>
      </c>
      <c r="G21" s="14">
        <f t="shared" ref="G21:G24" si="3">D21*E21*F21</f>
        <v>10</v>
      </c>
      <c r="H21" s="16">
        <f>AVERAGE(C21:C24)</f>
        <v>6.25</v>
      </c>
      <c r="I21" s="1"/>
    </row>
    <row r="22" ht="14.25" customHeight="1">
      <c r="A22" s="1"/>
      <c r="B22" s="13" t="s">
        <v>23</v>
      </c>
      <c r="C22" s="14">
        <v>5.0</v>
      </c>
      <c r="D22" s="14">
        <v>2.0</v>
      </c>
      <c r="E22" s="14">
        <v>3.0</v>
      </c>
      <c r="F22" s="14">
        <v>5.5</v>
      </c>
      <c r="G22" s="14">
        <f t="shared" si="3"/>
        <v>33</v>
      </c>
      <c r="H22" s="17"/>
      <c r="I22" s="1"/>
    </row>
    <row r="23" ht="14.25" customHeight="1">
      <c r="A23" s="1"/>
      <c r="B23" s="13" t="s">
        <v>24</v>
      </c>
      <c r="C23" s="14">
        <v>8.0</v>
      </c>
      <c r="D23" s="14">
        <v>2.0</v>
      </c>
      <c r="E23" s="14">
        <v>4.0</v>
      </c>
      <c r="F23" s="14">
        <v>5.5</v>
      </c>
      <c r="G23" s="14">
        <f t="shared" si="3"/>
        <v>44</v>
      </c>
      <c r="H23" s="17"/>
      <c r="I23" s="1"/>
    </row>
    <row r="24" ht="14.25" customHeight="1">
      <c r="A24" s="1"/>
      <c r="B24" s="18" t="s">
        <v>25</v>
      </c>
      <c r="C24" s="21">
        <v>6.0</v>
      </c>
      <c r="D24" s="19">
        <v>1.0</v>
      </c>
      <c r="E24" s="19">
        <v>2.0</v>
      </c>
      <c r="F24" s="19">
        <v>5.0</v>
      </c>
      <c r="G24" s="19">
        <f t="shared" si="3"/>
        <v>10</v>
      </c>
      <c r="H24" s="20"/>
      <c r="I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</row>
    <row r="26" ht="14.25" customHeight="1">
      <c r="A26" s="1"/>
      <c r="B26" s="2" t="s">
        <v>26</v>
      </c>
      <c r="C26" s="3" t="s">
        <v>27</v>
      </c>
      <c r="D26" s="4"/>
      <c r="E26" s="4"/>
      <c r="F26" s="4"/>
      <c r="G26" s="4"/>
      <c r="H26" s="5"/>
      <c r="I26" s="1"/>
    </row>
    <row r="27" ht="14.25" customHeight="1">
      <c r="A27" s="1"/>
      <c r="B27" s="6" t="s">
        <v>2</v>
      </c>
      <c r="C27" s="7">
        <v>3.0</v>
      </c>
      <c r="D27" s="8" t="str">
        <f>IF(C27&gt;4,"No viable","Viable")</f>
        <v>Viable</v>
      </c>
      <c r="E27" s="9" t="str">
        <f>CONCATENATE("Las semanas destinadas son: "&amp; C27)</f>
        <v>Las semanas destinadas son: 3</v>
      </c>
      <c r="F27" s="10"/>
      <c r="G27" s="10"/>
      <c r="H27" s="11"/>
      <c r="I27" s="1"/>
    </row>
    <row r="28" ht="14.25" customHeight="1">
      <c r="A28" s="1"/>
      <c r="B28" s="6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12" t="s">
        <v>9</v>
      </c>
      <c r="I28" s="1"/>
    </row>
    <row r="29" ht="14.25" customHeight="1">
      <c r="A29" s="1"/>
      <c r="B29" s="13" t="s">
        <v>28</v>
      </c>
      <c r="C29" s="14">
        <v>8.0</v>
      </c>
      <c r="D29" s="14">
        <v>2.0</v>
      </c>
      <c r="E29" s="14">
        <v>4.0</v>
      </c>
      <c r="F29" s="14">
        <v>5.5</v>
      </c>
      <c r="G29" s="14">
        <f t="shared" ref="G29:G32" si="4">D29*E29*F29</f>
        <v>44</v>
      </c>
      <c r="H29" s="16">
        <f>AVERAGE(C29:C32)</f>
        <v>6.5</v>
      </c>
      <c r="I29" s="1"/>
    </row>
    <row r="30" ht="14.25" customHeight="1">
      <c r="A30" s="1"/>
      <c r="B30" s="13" t="s">
        <v>29</v>
      </c>
      <c r="C30" s="14">
        <v>8.0</v>
      </c>
      <c r="D30" s="14">
        <v>2.0</v>
      </c>
      <c r="E30" s="14">
        <v>4.0</v>
      </c>
      <c r="F30" s="14">
        <v>5.5</v>
      </c>
      <c r="G30" s="14">
        <f t="shared" si="4"/>
        <v>44</v>
      </c>
      <c r="H30" s="17"/>
      <c r="I30" s="1"/>
    </row>
    <row r="31" ht="14.25" customHeight="1">
      <c r="A31" s="1"/>
      <c r="B31" s="13" t="s">
        <v>30</v>
      </c>
      <c r="C31" s="14">
        <v>5.0</v>
      </c>
      <c r="D31" s="14">
        <v>2.0</v>
      </c>
      <c r="E31" s="14">
        <v>3.0</v>
      </c>
      <c r="F31" s="14">
        <v>5.5</v>
      </c>
      <c r="G31" s="14">
        <f t="shared" si="4"/>
        <v>33</v>
      </c>
      <c r="H31" s="17"/>
      <c r="I31" s="1"/>
    </row>
    <row r="32" ht="14.25" customHeight="1">
      <c r="A32" s="1"/>
      <c r="B32" s="18" t="s">
        <v>31</v>
      </c>
      <c r="C32" s="19">
        <v>5.0</v>
      </c>
      <c r="D32" s="19">
        <v>2.0</v>
      </c>
      <c r="E32" s="19">
        <v>3.0</v>
      </c>
      <c r="F32" s="19">
        <v>5.5</v>
      </c>
      <c r="G32" s="19">
        <f t="shared" si="4"/>
        <v>33</v>
      </c>
      <c r="H32" s="20"/>
      <c r="I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</row>
    <row r="34" ht="14.25" customHeight="1">
      <c r="A34" s="1"/>
      <c r="B34" s="2" t="s">
        <v>32</v>
      </c>
      <c r="C34" s="3" t="s">
        <v>33</v>
      </c>
      <c r="D34" s="4"/>
      <c r="E34" s="4"/>
      <c r="F34" s="4"/>
      <c r="G34" s="4"/>
      <c r="H34" s="5"/>
      <c r="I34" s="1"/>
    </row>
    <row r="35" ht="14.25" customHeight="1">
      <c r="A35" s="1"/>
      <c r="B35" s="6" t="s">
        <v>2</v>
      </c>
      <c r="C35" s="7">
        <v>2.0</v>
      </c>
      <c r="D35" s="8" t="str">
        <f>IF(C35&gt;4,"No viable","Viable")</f>
        <v>Viable</v>
      </c>
      <c r="E35" s="9" t="str">
        <f>CONCATENATE("Las semanas destinadas son: "&amp; C35)</f>
        <v>Las semanas destinadas son: 2</v>
      </c>
      <c r="F35" s="10"/>
      <c r="G35" s="10"/>
      <c r="H35" s="11"/>
      <c r="I35" s="1"/>
    </row>
    <row r="36" ht="14.25" customHeight="1">
      <c r="A36" s="1"/>
      <c r="B36" s="6" t="s">
        <v>3</v>
      </c>
      <c r="C36" s="8" t="s">
        <v>4</v>
      </c>
      <c r="D36" s="8" t="s">
        <v>5</v>
      </c>
      <c r="E36" s="8" t="s">
        <v>6</v>
      </c>
      <c r="F36" s="8" t="s">
        <v>7</v>
      </c>
      <c r="G36" s="8" t="s">
        <v>8</v>
      </c>
      <c r="H36" s="12" t="s">
        <v>9</v>
      </c>
      <c r="I36" s="1"/>
    </row>
    <row r="37" ht="14.25" customHeight="1">
      <c r="A37" s="1"/>
      <c r="B37" s="13" t="s">
        <v>34</v>
      </c>
      <c r="C37" s="14">
        <v>8.0</v>
      </c>
      <c r="D37" s="14">
        <v>2.0</v>
      </c>
      <c r="E37" s="14">
        <v>4.0</v>
      </c>
      <c r="F37" s="14">
        <v>5.5</v>
      </c>
      <c r="G37" s="14">
        <f t="shared" ref="G37:G40" si="5">D37*E37*F37</f>
        <v>44</v>
      </c>
      <c r="H37" s="16">
        <f>AVERAGE(C37:C40)</f>
        <v>6</v>
      </c>
      <c r="I37" s="1"/>
    </row>
    <row r="38" ht="14.25" customHeight="1">
      <c r="A38" s="1"/>
      <c r="B38" s="13" t="s">
        <v>35</v>
      </c>
      <c r="C38" s="14">
        <v>5.0</v>
      </c>
      <c r="D38" s="14">
        <v>2.0</v>
      </c>
      <c r="E38" s="14">
        <v>3.0</v>
      </c>
      <c r="F38" s="14">
        <v>5.5</v>
      </c>
      <c r="G38" s="14">
        <f t="shared" si="5"/>
        <v>33</v>
      </c>
      <c r="H38" s="17"/>
      <c r="I38" s="1"/>
    </row>
    <row r="39" ht="14.25" customHeight="1">
      <c r="A39" s="1"/>
      <c r="B39" s="13" t="s">
        <v>36</v>
      </c>
      <c r="C39" s="14">
        <v>8.0</v>
      </c>
      <c r="D39" s="14">
        <v>2.0</v>
      </c>
      <c r="E39" s="14">
        <v>4.0</v>
      </c>
      <c r="F39" s="14">
        <v>5.5</v>
      </c>
      <c r="G39" s="14">
        <f t="shared" si="5"/>
        <v>44</v>
      </c>
      <c r="H39" s="17"/>
      <c r="I39" s="1"/>
    </row>
    <row r="40" ht="14.25" customHeight="1">
      <c r="A40" s="1"/>
      <c r="B40" s="18" t="s">
        <v>37</v>
      </c>
      <c r="C40" s="19">
        <v>3.0</v>
      </c>
      <c r="D40" s="19">
        <v>1.0</v>
      </c>
      <c r="E40" s="19">
        <v>2.0</v>
      </c>
      <c r="F40" s="19">
        <v>5.0</v>
      </c>
      <c r="G40" s="19">
        <f t="shared" si="5"/>
        <v>10</v>
      </c>
      <c r="H40" s="20"/>
      <c r="I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</row>
    <row r="42" ht="14.25" customHeight="1">
      <c r="A42" s="1"/>
      <c r="B42" s="2" t="s">
        <v>38</v>
      </c>
      <c r="C42" s="3" t="s">
        <v>39</v>
      </c>
      <c r="D42" s="4"/>
      <c r="E42" s="4"/>
      <c r="F42" s="4"/>
      <c r="G42" s="4"/>
      <c r="H42" s="5"/>
      <c r="I42" s="1"/>
    </row>
    <row r="43" ht="14.25" customHeight="1">
      <c r="A43" s="1"/>
      <c r="B43" s="6" t="s">
        <v>2</v>
      </c>
      <c r="C43" s="7">
        <v>2.0</v>
      </c>
      <c r="D43" s="8" t="str">
        <f>IF(C43&gt;4,"No viable","Viable")</f>
        <v>Viable</v>
      </c>
      <c r="E43" s="9" t="str">
        <f>CONCATENATE("Las semanas destinadas son: "&amp; C43)</f>
        <v>Las semanas destinadas son: 2</v>
      </c>
      <c r="F43" s="10"/>
      <c r="G43" s="10"/>
      <c r="H43" s="11"/>
      <c r="I43" s="1"/>
    </row>
    <row r="44" ht="14.25" customHeight="1">
      <c r="A44" s="1"/>
      <c r="B44" s="6" t="s">
        <v>3</v>
      </c>
      <c r="C44" s="8" t="s">
        <v>4</v>
      </c>
      <c r="D44" s="8" t="s">
        <v>5</v>
      </c>
      <c r="E44" s="8" t="s">
        <v>6</v>
      </c>
      <c r="F44" s="8" t="s">
        <v>7</v>
      </c>
      <c r="G44" s="8" t="s">
        <v>8</v>
      </c>
      <c r="H44" s="12" t="s">
        <v>9</v>
      </c>
      <c r="I44" s="1"/>
    </row>
    <row r="45" ht="14.25" customHeight="1">
      <c r="A45" s="1"/>
      <c r="B45" s="13" t="s">
        <v>40</v>
      </c>
      <c r="C45" s="14">
        <v>8.0</v>
      </c>
      <c r="D45" s="14">
        <v>2.0</v>
      </c>
      <c r="E45" s="14">
        <v>4.0</v>
      </c>
      <c r="F45" s="14">
        <v>5.5</v>
      </c>
      <c r="G45" s="14">
        <f t="shared" ref="G45:G48" si="6">D45*E45*F45</f>
        <v>44</v>
      </c>
      <c r="H45" s="16">
        <f>AVERAGE(C45:C48)</f>
        <v>4.25</v>
      </c>
      <c r="I45" s="1"/>
    </row>
    <row r="46" ht="14.25" customHeight="1">
      <c r="A46" s="1"/>
      <c r="B46" s="13" t="s">
        <v>41</v>
      </c>
      <c r="C46" s="14">
        <v>3.0</v>
      </c>
      <c r="D46" s="14">
        <v>1.0</v>
      </c>
      <c r="E46" s="14">
        <v>2.0</v>
      </c>
      <c r="F46" s="14">
        <v>5.0</v>
      </c>
      <c r="G46" s="14">
        <f t="shared" si="6"/>
        <v>10</v>
      </c>
      <c r="H46" s="17"/>
      <c r="I46" s="1"/>
    </row>
    <row r="47" ht="14.25" customHeight="1">
      <c r="A47" s="1"/>
      <c r="B47" s="13" t="s">
        <v>42</v>
      </c>
      <c r="C47" s="14">
        <v>3.0</v>
      </c>
      <c r="D47" s="14">
        <v>1.0</v>
      </c>
      <c r="E47" s="14">
        <v>2.0</v>
      </c>
      <c r="F47" s="14">
        <v>5.0</v>
      </c>
      <c r="G47" s="14">
        <f t="shared" si="6"/>
        <v>10</v>
      </c>
      <c r="H47" s="17"/>
      <c r="I47" s="1"/>
    </row>
    <row r="48" ht="14.25" customHeight="1">
      <c r="A48" s="1"/>
      <c r="B48" s="18" t="s">
        <v>43</v>
      </c>
      <c r="C48" s="19">
        <v>3.0</v>
      </c>
      <c r="D48" s="19">
        <v>1.0</v>
      </c>
      <c r="E48" s="19">
        <v>2.0</v>
      </c>
      <c r="F48" s="19">
        <v>5.0</v>
      </c>
      <c r="G48" s="19">
        <f t="shared" si="6"/>
        <v>10</v>
      </c>
      <c r="H48" s="20"/>
      <c r="I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</row>
    <row r="50" ht="14.25" customHeight="1">
      <c r="A50" s="1"/>
      <c r="B50" s="2" t="s">
        <v>44</v>
      </c>
      <c r="C50" s="3" t="s">
        <v>45</v>
      </c>
      <c r="D50" s="4"/>
      <c r="E50" s="4"/>
      <c r="F50" s="4"/>
      <c r="G50" s="4"/>
      <c r="H50" s="5"/>
      <c r="I50" s="1"/>
    </row>
    <row r="51" ht="14.25" customHeight="1">
      <c r="A51" s="1"/>
      <c r="B51" s="6" t="s">
        <v>2</v>
      </c>
      <c r="C51" s="7">
        <v>2.0</v>
      </c>
      <c r="D51" s="8" t="str">
        <f>IF(C51&gt;4,"No viable","Viable")</f>
        <v>Viable</v>
      </c>
      <c r="E51" s="9" t="str">
        <f>CONCATENATE("Las semanas destinadas son: "&amp; C51)</f>
        <v>Las semanas destinadas son: 2</v>
      </c>
      <c r="F51" s="10"/>
      <c r="G51" s="10"/>
      <c r="H51" s="11"/>
      <c r="I51" s="1"/>
    </row>
    <row r="52" ht="14.25" customHeight="1">
      <c r="A52" s="1"/>
      <c r="B52" s="6" t="s">
        <v>3</v>
      </c>
      <c r="C52" s="8" t="s">
        <v>4</v>
      </c>
      <c r="D52" s="8" t="s">
        <v>5</v>
      </c>
      <c r="E52" s="8" t="s">
        <v>6</v>
      </c>
      <c r="F52" s="8" t="s">
        <v>7</v>
      </c>
      <c r="G52" s="8" t="s">
        <v>8</v>
      </c>
      <c r="H52" s="12" t="s">
        <v>9</v>
      </c>
      <c r="I52" s="1"/>
    </row>
    <row r="53" ht="14.25" customHeight="1">
      <c r="A53" s="1"/>
      <c r="B53" s="13" t="s">
        <v>46</v>
      </c>
      <c r="C53" s="14">
        <v>8.0</v>
      </c>
      <c r="D53" s="14">
        <v>2.0</v>
      </c>
      <c r="E53" s="14">
        <v>4.0</v>
      </c>
      <c r="F53" s="14">
        <v>5.5</v>
      </c>
      <c r="G53" s="14">
        <f t="shared" ref="G53:G56" si="7">D53*E53*F53</f>
        <v>44</v>
      </c>
      <c r="H53" s="16">
        <f>AVERAGE(C53:C56)</f>
        <v>6.5</v>
      </c>
      <c r="I53" s="1"/>
    </row>
    <row r="54" ht="14.25" customHeight="1">
      <c r="A54" s="1"/>
      <c r="B54" s="13" t="s">
        <v>47</v>
      </c>
      <c r="C54" s="14">
        <v>5.0</v>
      </c>
      <c r="D54" s="14">
        <v>2.0</v>
      </c>
      <c r="E54" s="14">
        <v>3.0</v>
      </c>
      <c r="F54" s="14">
        <v>5.5</v>
      </c>
      <c r="G54" s="14">
        <f t="shared" si="7"/>
        <v>33</v>
      </c>
      <c r="H54" s="17"/>
      <c r="I54" s="1"/>
    </row>
    <row r="55" ht="14.25" customHeight="1">
      <c r="A55" s="1"/>
      <c r="B55" s="13" t="s">
        <v>48</v>
      </c>
      <c r="C55" s="14">
        <v>5.0</v>
      </c>
      <c r="D55" s="14">
        <v>2.0</v>
      </c>
      <c r="E55" s="14">
        <v>3.0</v>
      </c>
      <c r="F55" s="14">
        <v>5.5</v>
      </c>
      <c r="G55" s="14">
        <f t="shared" si="7"/>
        <v>33</v>
      </c>
      <c r="H55" s="17"/>
      <c r="I55" s="1"/>
    </row>
    <row r="56" ht="14.25" customHeight="1">
      <c r="A56" s="1"/>
      <c r="B56" s="18" t="s">
        <v>49</v>
      </c>
      <c r="C56" s="19">
        <v>8.0</v>
      </c>
      <c r="D56" s="19">
        <v>2.0</v>
      </c>
      <c r="E56" s="19">
        <v>4.0</v>
      </c>
      <c r="F56" s="19">
        <v>5.5</v>
      </c>
      <c r="G56" s="19">
        <f t="shared" si="7"/>
        <v>44</v>
      </c>
      <c r="H56" s="20"/>
      <c r="I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</row>
    <row r="58" ht="14.25" customHeight="1">
      <c r="A58" s="1"/>
      <c r="B58" s="2" t="s">
        <v>50</v>
      </c>
      <c r="C58" s="3" t="s">
        <v>51</v>
      </c>
      <c r="D58" s="4"/>
      <c r="E58" s="4"/>
      <c r="F58" s="4"/>
      <c r="G58" s="4"/>
      <c r="H58" s="5"/>
      <c r="I58" s="1"/>
    </row>
    <row r="59" ht="14.25" customHeight="1">
      <c r="A59" s="1"/>
      <c r="B59" s="6" t="s">
        <v>2</v>
      </c>
      <c r="C59" s="7">
        <v>2.0</v>
      </c>
      <c r="D59" s="8" t="str">
        <f>IF(C59&gt;4,"No viable","Viable")</f>
        <v>Viable</v>
      </c>
      <c r="E59" s="9" t="str">
        <f>CONCATENATE("Las semanas destinadas son: "&amp; C59)</f>
        <v>Las semanas destinadas son: 2</v>
      </c>
      <c r="F59" s="10"/>
      <c r="G59" s="10"/>
      <c r="H59" s="11"/>
      <c r="I59" s="1"/>
    </row>
    <row r="60" ht="14.25" customHeight="1">
      <c r="A60" s="1"/>
      <c r="B60" s="6" t="s">
        <v>3</v>
      </c>
      <c r="C60" s="8" t="s">
        <v>4</v>
      </c>
      <c r="D60" s="8" t="s">
        <v>5</v>
      </c>
      <c r="E60" s="8" t="s">
        <v>6</v>
      </c>
      <c r="F60" s="8" t="s">
        <v>7</v>
      </c>
      <c r="G60" s="8" t="s">
        <v>8</v>
      </c>
      <c r="H60" s="12" t="s">
        <v>9</v>
      </c>
      <c r="I60" s="1"/>
    </row>
    <row r="61" ht="14.25" customHeight="1">
      <c r="A61" s="1"/>
      <c r="B61" s="13" t="s">
        <v>52</v>
      </c>
      <c r="C61" s="14">
        <v>5.0</v>
      </c>
      <c r="D61" s="14">
        <v>2.0</v>
      </c>
      <c r="E61" s="14">
        <v>3.0</v>
      </c>
      <c r="F61" s="14">
        <v>5.5</v>
      </c>
      <c r="G61" s="14">
        <f t="shared" ref="G61:G64" si="8">D61*E61*F61</f>
        <v>33</v>
      </c>
      <c r="H61" s="16">
        <f>AVERAGE(C61:C64)</f>
        <v>5.25</v>
      </c>
      <c r="I61" s="1"/>
    </row>
    <row r="62" ht="14.25" customHeight="1">
      <c r="A62" s="1"/>
      <c r="B62" s="13" t="s">
        <v>53</v>
      </c>
      <c r="C62" s="14">
        <v>3.0</v>
      </c>
      <c r="D62" s="14">
        <v>1.0</v>
      </c>
      <c r="E62" s="14">
        <v>2.0</v>
      </c>
      <c r="F62" s="14">
        <v>5.0</v>
      </c>
      <c r="G62" s="14">
        <f t="shared" si="8"/>
        <v>10</v>
      </c>
      <c r="H62" s="17"/>
      <c r="I62" s="1"/>
    </row>
    <row r="63" ht="14.25" customHeight="1">
      <c r="A63" s="1"/>
      <c r="B63" s="13" t="s">
        <v>54</v>
      </c>
      <c r="C63" s="14">
        <v>8.0</v>
      </c>
      <c r="D63" s="14">
        <v>2.0</v>
      </c>
      <c r="E63" s="14">
        <v>4.0</v>
      </c>
      <c r="F63" s="14">
        <v>5.5</v>
      </c>
      <c r="G63" s="14">
        <f t="shared" si="8"/>
        <v>44</v>
      </c>
      <c r="H63" s="17"/>
      <c r="I63" s="1"/>
    </row>
    <row r="64" ht="14.25" customHeight="1">
      <c r="A64" s="1"/>
      <c r="B64" s="18" t="s">
        <v>55</v>
      </c>
      <c r="C64" s="19">
        <v>5.0</v>
      </c>
      <c r="D64" s="19">
        <v>2.0</v>
      </c>
      <c r="E64" s="19">
        <v>3.0</v>
      </c>
      <c r="F64" s="19">
        <v>5.5</v>
      </c>
      <c r="G64" s="19">
        <f t="shared" si="8"/>
        <v>33</v>
      </c>
      <c r="H64" s="20"/>
      <c r="I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</row>
    <row r="66" ht="14.25" customHeight="1">
      <c r="A66" s="1"/>
      <c r="B66" s="2" t="s">
        <v>56</v>
      </c>
      <c r="C66" s="3" t="s">
        <v>57</v>
      </c>
      <c r="D66" s="4"/>
      <c r="E66" s="4"/>
      <c r="F66" s="4"/>
      <c r="G66" s="4"/>
      <c r="H66" s="5"/>
      <c r="I66" s="1"/>
    </row>
    <row r="67" ht="14.25" customHeight="1">
      <c r="A67" s="1"/>
      <c r="B67" s="6" t="s">
        <v>2</v>
      </c>
      <c r="C67" s="7">
        <v>2.0</v>
      </c>
      <c r="D67" s="8" t="str">
        <f>IF(C67&gt;4,"No viable","Viable")</f>
        <v>Viable</v>
      </c>
      <c r="E67" s="9" t="str">
        <f>CONCATENATE("Las semanas destinadas son: "&amp; C67)</f>
        <v>Las semanas destinadas son: 2</v>
      </c>
      <c r="F67" s="10"/>
      <c r="G67" s="10"/>
      <c r="H67" s="11"/>
      <c r="I67" s="1"/>
    </row>
    <row r="68" ht="14.25" customHeight="1">
      <c r="A68" s="1"/>
      <c r="B68" s="6" t="s">
        <v>3</v>
      </c>
      <c r="C68" s="8" t="s">
        <v>4</v>
      </c>
      <c r="D68" s="8" t="s">
        <v>5</v>
      </c>
      <c r="E68" s="8" t="s">
        <v>6</v>
      </c>
      <c r="F68" s="8" t="s">
        <v>7</v>
      </c>
      <c r="G68" s="8" t="s">
        <v>8</v>
      </c>
      <c r="H68" s="12" t="s">
        <v>9</v>
      </c>
      <c r="I68" s="1"/>
    </row>
    <row r="69" ht="14.25" customHeight="1">
      <c r="A69" s="1"/>
      <c r="B69" s="13" t="s">
        <v>58</v>
      </c>
      <c r="C69" s="14">
        <v>3.0</v>
      </c>
      <c r="D69" s="14">
        <v>1.0</v>
      </c>
      <c r="E69" s="14">
        <v>2.0</v>
      </c>
      <c r="F69" s="14">
        <v>5.0</v>
      </c>
      <c r="G69" s="14">
        <f t="shared" ref="G69:G72" si="9">D69*E69*F69</f>
        <v>10</v>
      </c>
      <c r="H69" s="16">
        <f>AVERAGE(C69:C72)</f>
        <v>4</v>
      </c>
      <c r="I69" s="1"/>
    </row>
    <row r="70" ht="14.25" customHeight="1">
      <c r="A70" s="1"/>
      <c r="B70" s="13" t="s">
        <v>59</v>
      </c>
      <c r="C70" s="14">
        <v>5.0</v>
      </c>
      <c r="D70" s="14">
        <v>2.0</v>
      </c>
      <c r="E70" s="14">
        <v>3.0</v>
      </c>
      <c r="F70" s="14">
        <v>5.5</v>
      </c>
      <c r="G70" s="14">
        <f t="shared" si="9"/>
        <v>33</v>
      </c>
      <c r="H70" s="17"/>
      <c r="I70" s="1"/>
    </row>
    <row r="71" ht="14.25" customHeight="1">
      <c r="A71" s="1"/>
      <c r="B71" s="13" t="s">
        <v>60</v>
      </c>
      <c r="C71" s="14">
        <v>5.0</v>
      </c>
      <c r="D71" s="14">
        <v>2.0</v>
      </c>
      <c r="E71" s="14">
        <v>3.0</v>
      </c>
      <c r="F71" s="14">
        <v>5.5</v>
      </c>
      <c r="G71" s="14">
        <f t="shared" si="9"/>
        <v>33</v>
      </c>
      <c r="H71" s="17"/>
      <c r="I71" s="1"/>
    </row>
    <row r="72" ht="14.25" customHeight="1">
      <c r="A72" s="1"/>
      <c r="B72" s="18" t="s">
        <v>61</v>
      </c>
      <c r="C72" s="19">
        <v>3.0</v>
      </c>
      <c r="D72" s="19">
        <v>1.0</v>
      </c>
      <c r="E72" s="19">
        <v>2.0</v>
      </c>
      <c r="F72" s="19">
        <v>5.0</v>
      </c>
      <c r="G72" s="19">
        <f t="shared" si="9"/>
        <v>10</v>
      </c>
      <c r="H72" s="20"/>
      <c r="I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</row>
    <row r="74" ht="14.25" customHeight="1">
      <c r="A74" s="1"/>
      <c r="B74" s="2" t="s">
        <v>62</v>
      </c>
      <c r="C74" s="3" t="s">
        <v>63</v>
      </c>
      <c r="D74" s="4"/>
      <c r="E74" s="4"/>
      <c r="F74" s="4"/>
      <c r="G74" s="4"/>
      <c r="H74" s="5"/>
      <c r="I74" s="1"/>
    </row>
    <row r="75" ht="14.25" customHeight="1">
      <c r="A75" s="1"/>
      <c r="B75" s="6" t="s">
        <v>2</v>
      </c>
      <c r="C75" s="7">
        <v>2.0</v>
      </c>
      <c r="D75" s="8" t="str">
        <f>IF(C75&gt;4,"No viable","Viable")</f>
        <v>Viable</v>
      </c>
      <c r="E75" s="9" t="str">
        <f>CONCATENATE("Las semanas destinadas son: "&amp; C75)</f>
        <v>Las semanas destinadas son: 2</v>
      </c>
      <c r="F75" s="10"/>
      <c r="G75" s="10"/>
      <c r="H75" s="11"/>
      <c r="I75" s="1"/>
    </row>
    <row r="76" ht="14.25" customHeight="1">
      <c r="A76" s="1"/>
      <c r="B76" s="6" t="s">
        <v>3</v>
      </c>
      <c r="C76" s="8" t="s">
        <v>4</v>
      </c>
      <c r="D76" s="8" t="s">
        <v>5</v>
      </c>
      <c r="E76" s="8" t="s">
        <v>6</v>
      </c>
      <c r="F76" s="8" t="s">
        <v>7</v>
      </c>
      <c r="G76" s="8" t="s">
        <v>8</v>
      </c>
      <c r="H76" s="12" t="s">
        <v>9</v>
      </c>
      <c r="I76" s="1"/>
    </row>
    <row r="77" ht="14.25" customHeight="1">
      <c r="A77" s="1"/>
      <c r="B77" s="13" t="s">
        <v>64</v>
      </c>
      <c r="C77" s="14">
        <v>3.0</v>
      </c>
      <c r="D77" s="14">
        <v>1.0</v>
      </c>
      <c r="E77" s="14">
        <v>2.0</v>
      </c>
      <c r="F77" s="14">
        <v>5.0</v>
      </c>
      <c r="G77" s="14">
        <f t="shared" ref="G77:G80" si="10">D77*E77*F77</f>
        <v>10</v>
      </c>
      <c r="H77" s="16">
        <f>AVERAGE(C77:C80)</f>
        <v>4.75</v>
      </c>
      <c r="I77" s="1"/>
    </row>
    <row r="78" ht="14.25" customHeight="1">
      <c r="A78" s="1"/>
      <c r="B78" s="13" t="s">
        <v>65</v>
      </c>
      <c r="C78" s="14">
        <v>3.0</v>
      </c>
      <c r="D78" s="14">
        <v>1.0</v>
      </c>
      <c r="E78" s="14">
        <v>2.0</v>
      </c>
      <c r="F78" s="14">
        <v>5.0</v>
      </c>
      <c r="G78" s="14">
        <f t="shared" si="10"/>
        <v>10</v>
      </c>
      <c r="H78" s="17"/>
      <c r="I78" s="1"/>
    </row>
    <row r="79" ht="14.25" customHeight="1">
      <c r="A79" s="1"/>
      <c r="B79" s="13" t="s">
        <v>66</v>
      </c>
      <c r="C79" s="14">
        <v>8.0</v>
      </c>
      <c r="D79" s="14">
        <v>2.0</v>
      </c>
      <c r="E79" s="14">
        <v>4.0</v>
      </c>
      <c r="F79" s="14">
        <v>5.5</v>
      </c>
      <c r="G79" s="14">
        <f t="shared" si="10"/>
        <v>44</v>
      </c>
      <c r="H79" s="17"/>
      <c r="I79" s="1"/>
    </row>
    <row r="80" ht="14.25" customHeight="1">
      <c r="A80" s="1"/>
      <c r="B80" s="18" t="s">
        <v>67</v>
      </c>
      <c r="C80" s="19">
        <v>5.0</v>
      </c>
      <c r="D80" s="19">
        <v>2.0</v>
      </c>
      <c r="E80" s="19">
        <v>3.0</v>
      </c>
      <c r="F80" s="19">
        <v>5.5</v>
      </c>
      <c r="G80" s="19">
        <f t="shared" si="10"/>
        <v>33</v>
      </c>
      <c r="H80" s="20"/>
      <c r="I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</row>
    <row r="82" ht="14.25" customHeight="1">
      <c r="A82" s="1"/>
      <c r="B82" s="2" t="s">
        <v>68</v>
      </c>
      <c r="C82" s="3" t="s">
        <v>69</v>
      </c>
      <c r="D82" s="4"/>
      <c r="E82" s="4"/>
      <c r="F82" s="4"/>
      <c r="G82" s="4"/>
      <c r="H82" s="5"/>
      <c r="I82" s="1"/>
    </row>
    <row r="83" ht="14.25" customHeight="1">
      <c r="A83" s="1"/>
      <c r="B83" s="6" t="s">
        <v>2</v>
      </c>
      <c r="C83" s="7">
        <v>2.0</v>
      </c>
      <c r="D83" s="8" t="str">
        <f>IF(C83&gt;4,"No viable","Viable")</f>
        <v>Viable</v>
      </c>
      <c r="E83" s="9" t="str">
        <f>CONCATENATE("Las semanas destinadas son: "&amp; C83)</f>
        <v>Las semanas destinadas son: 2</v>
      </c>
      <c r="F83" s="10"/>
      <c r="G83" s="10"/>
      <c r="H83" s="11"/>
      <c r="I83" s="1"/>
    </row>
    <row r="84" ht="14.25" customHeight="1">
      <c r="A84" s="1"/>
      <c r="B84" s="6" t="s">
        <v>3</v>
      </c>
      <c r="C84" s="8" t="s">
        <v>4</v>
      </c>
      <c r="D84" s="8" t="s">
        <v>5</v>
      </c>
      <c r="E84" s="8" t="s">
        <v>6</v>
      </c>
      <c r="F84" s="8" t="s">
        <v>7</v>
      </c>
      <c r="G84" s="8" t="s">
        <v>8</v>
      </c>
      <c r="H84" s="12" t="s">
        <v>9</v>
      </c>
      <c r="I84" s="1"/>
    </row>
    <row r="85" ht="14.25" customHeight="1">
      <c r="A85" s="1"/>
      <c r="B85" s="13" t="s">
        <v>70</v>
      </c>
      <c r="C85" s="14">
        <v>5.0</v>
      </c>
      <c r="D85" s="14">
        <v>2.0</v>
      </c>
      <c r="E85" s="14">
        <v>3.0</v>
      </c>
      <c r="F85" s="14">
        <v>5.5</v>
      </c>
      <c r="G85" s="14">
        <f t="shared" ref="G85:G88" si="11">D85*E85*F85</f>
        <v>33</v>
      </c>
      <c r="H85" s="16">
        <f>AVERAGE(C85:C88)</f>
        <v>5.25</v>
      </c>
      <c r="I85" s="1"/>
    </row>
    <row r="86" ht="14.25" customHeight="1">
      <c r="A86" s="1"/>
      <c r="B86" s="13" t="s">
        <v>71</v>
      </c>
      <c r="C86" s="14">
        <v>5.0</v>
      </c>
      <c r="D86" s="14">
        <v>2.0</v>
      </c>
      <c r="E86" s="14">
        <v>3.0</v>
      </c>
      <c r="F86" s="14">
        <v>5.5</v>
      </c>
      <c r="G86" s="14">
        <f t="shared" si="11"/>
        <v>33</v>
      </c>
      <c r="H86" s="17"/>
      <c r="I86" s="1"/>
    </row>
    <row r="87" ht="14.25" customHeight="1">
      <c r="A87" s="1"/>
      <c r="B87" s="13" t="s">
        <v>72</v>
      </c>
      <c r="C87" s="14">
        <v>8.0</v>
      </c>
      <c r="D87" s="14">
        <v>2.0</v>
      </c>
      <c r="E87" s="14">
        <v>4.0</v>
      </c>
      <c r="F87" s="14">
        <v>5.5</v>
      </c>
      <c r="G87" s="14">
        <f t="shared" si="11"/>
        <v>44</v>
      </c>
      <c r="H87" s="17"/>
      <c r="I87" s="1"/>
    </row>
    <row r="88" ht="14.25" customHeight="1">
      <c r="A88" s="1"/>
      <c r="B88" s="18" t="s">
        <v>73</v>
      </c>
      <c r="C88" s="19">
        <v>3.0</v>
      </c>
      <c r="D88" s="19">
        <v>1.0</v>
      </c>
      <c r="E88" s="19">
        <v>2.0</v>
      </c>
      <c r="F88" s="19">
        <v>5.0</v>
      </c>
      <c r="G88" s="19">
        <f t="shared" si="11"/>
        <v>10</v>
      </c>
      <c r="H88" s="20"/>
      <c r="I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</row>
    <row r="90" ht="14.25" customHeight="1">
      <c r="A90" s="1"/>
      <c r="B90" s="2" t="s">
        <v>74</v>
      </c>
      <c r="C90" s="3" t="s">
        <v>75</v>
      </c>
      <c r="D90" s="4"/>
      <c r="E90" s="4"/>
      <c r="F90" s="4"/>
      <c r="G90" s="4"/>
      <c r="H90" s="5"/>
      <c r="I90" s="1"/>
    </row>
    <row r="91" ht="14.25" customHeight="1">
      <c r="A91" s="1"/>
      <c r="B91" s="6" t="s">
        <v>2</v>
      </c>
      <c r="C91" s="7">
        <v>2.0</v>
      </c>
      <c r="D91" s="8" t="str">
        <f>IF(C91&gt;4,"No viable","Viable")</f>
        <v>Viable</v>
      </c>
      <c r="E91" s="9" t="str">
        <f>CONCATENATE("Las semanas destinadas son: "&amp; C91)</f>
        <v>Las semanas destinadas son: 2</v>
      </c>
      <c r="F91" s="10"/>
      <c r="G91" s="10"/>
      <c r="H91" s="11"/>
      <c r="I91" s="1"/>
    </row>
    <row r="92" ht="14.25" customHeight="1">
      <c r="A92" s="1"/>
      <c r="B92" s="6" t="s">
        <v>3</v>
      </c>
      <c r="C92" s="8" t="s">
        <v>4</v>
      </c>
      <c r="D92" s="8" t="s">
        <v>5</v>
      </c>
      <c r="E92" s="8" t="s">
        <v>6</v>
      </c>
      <c r="F92" s="8" t="s">
        <v>7</v>
      </c>
      <c r="G92" s="8" t="s">
        <v>8</v>
      </c>
      <c r="H92" s="12" t="s">
        <v>9</v>
      </c>
      <c r="I92" s="1"/>
    </row>
    <row r="93" ht="14.25" customHeight="1">
      <c r="A93" s="1"/>
      <c r="B93" s="13" t="s">
        <v>76</v>
      </c>
      <c r="C93" s="14">
        <v>3.0</v>
      </c>
      <c r="D93" s="14">
        <v>1.0</v>
      </c>
      <c r="E93" s="14">
        <v>2.0</v>
      </c>
      <c r="F93" s="14">
        <v>5.0</v>
      </c>
      <c r="G93" s="14">
        <f t="shared" ref="G93:G96" si="12">D93*E93*F93</f>
        <v>10</v>
      </c>
      <c r="H93" s="16">
        <f>AVERAGE(C93:C96)</f>
        <v>4.25</v>
      </c>
      <c r="I93" s="1"/>
    </row>
    <row r="94" ht="14.25" customHeight="1">
      <c r="A94" s="1"/>
      <c r="B94" s="13" t="s">
        <v>77</v>
      </c>
      <c r="C94" s="14">
        <v>3.0</v>
      </c>
      <c r="D94" s="14">
        <v>1.0</v>
      </c>
      <c r="E94" s="14">
        <v>2.0</v>
      </c>
      <c r="F94" s="14">
        <v>5.0</v>
      </c>
      <c r="G94" s="14">
        <f t="shared" si="12"/>
        <v>10</v>
      </c>
      <c r="H94" s="17"/>
      <c r="I94" s="1"/>
    </row>
    <row r="95" ht="14.25" customHeight="1">
      <c r="A95" s="1"/>
      <c r="B95" s="13" t="s">
        <v>78</v>
      </c>
      <c r="C95" s="14">
        <v>8.0</v>
      </c>
      <c r="D95" s="14">
        <v>2.0</v>
      </c>
      <c r="E95" s="14">
        <v>4.0</v>
      </c>
      <c r="F95" s="14">
        <v>5.5</v>
      </c>
      <c r="G95" s="14">
        <f t="shared" si="12"/>
        <v>44</v>
      </c>
      <c r="H95" s="17"/>
      <c r="I95" s="1"/>
    </row>
    <row r="96" ht="14.25" customHeight="1">
      <c r="A96" s="1"/>
      <c r="B96" s="18" t="s">
        <v>79</v>
      </c>
      <c r="C96" s="19">
        <v>3.0</v>
      </c>
      <c r="D96" s="19">
        <v>1.0</v>
      </c>
      <c r="E96" s="19">
        <v>2.0</v>
      </c>
      <c r="F96" s="19">
        <v>5.0</v>
      </c>
      <c r="G96" s="19">
        <f t="shared" si="12"/>
        <v>10</v>
      </c>
      <c r="H96" s="20"/>
      <c r="I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</row>
    <row r="98" ht="14.25" customHeight="1">
      <c r="A98" s="1"/>
      <c r="B98" s="2" t="s">
        <v>80</v>
      </c>
      <c r="C98" s="3" t="s">
        <v>81</v>
      </c>
      <c r="D98" s="4"/>
      <c r="E98" s="4"/>
      <c r="F98" s="4"/>
      <c r="G98" s="4"/>
      <c r="H98" s="5"/>
      <c r="I98" s="1"/>
    </row>
    <row r="99" ht="14.25" customHeight="1">
      <c r="A99" s="1"/>
      <c r="B99" s="6" t="s">
        <v>2</v>
      </c>
      <c r="C99" s="7">
        <v>2.0</v>
      </c>
      <c r="D99" s="8" t="str">
        <f>IF(C99&gt;4,"No viable","Viable")</f>
        <v>Viable</v>
      </c>
      <c r="E99" s="9" t="str">
        <f>CONCATENATE("Las semanas destinadas son: "&amp; C99)</f>
        <v>Las semanas destinadas son: 2</v>
      </c>
      <c r="F99" s="10"/>
      <c r="G99" s="10"/>
      <c r="H99" s="11"/>
      <c r="I99" s="1"/>
    </row>
    <row r="100" ht="14.25" customHeight="1">
      <c r="A100" s="1"/>
      <c r="B100" s="6" t="s">
        <v>3</v>
      </c>
      <c r="C100" s="8" t="s">
        <v>4</v>
      </c>
      <c r="D100" s="8" t="s">
        <v>5</v>
      </c>
      <c r="E100" s="8" t="s">
        <v>6</v>
      </c>
      <c r="F100" s="8" t="s">
        <v>7</v>
      </c>
      <c r="G100" s="8" t="s">
        <v>8</v>
      </c>
      <c r="H100" s="12" t="s">
        <v>9</v>
      </c>
      <c r="I100" s="1"/>
    </row>
    <row r="101" ht="14.25" customHeight="1">
      <c r="A101" s="1"/>
      <c r="B101" s="13" t="s">
        <v>82</v>
      </c>
      <c r="C101" s="14">
        <v>5.0</v>
      </c>
      <c r="D101" s="14">
        <v>2.0</v>
      </c>
      <c r="E101" s="14">
        <v>3.0</v>
      </c>
      <c r="F101" s="14">
        <v>5.5</v>
      </c>
      <c r="G101" s="14">
        <f t="shared" ref="G101:G105" si="13">D101*E101*F101</f>
        <v>33</v>
      </c>
      <c r="H101" s="16">
        <f>AVERAGE(C101:C105)</f>
        <v>5</v>
      </c>
      <c r="I101" s="1"/>
    </row>
    <row r="102" ht="14.25" customHeight="1">
      <c r="A102" s="1"/>
      <c r="B102" s="13" t="s">
        <v>83</v>
      </c>
      <c r="C102" s="14">
        <v>5.0</v>
      </c>
      <c r="D102" s="14">
        <v>2.0</v>
      </c>
      <c r="E102" s="14">
        <v>3.0</v>
      </c>
      <c r="F102" s="14">
        <v>5.5</v>
      </c>
      <c r="G102" s="14">
        <f t="shared" si="13"/>
        <v>33</v>
      </c>
      <c r="H102" s="17"/>
      <c r="I102" s="1"/>
    </row>
    <row r="103" ht="14.25" customHeight="1">
      <c r="A103" s="1"/>
      <c r="B103" s="13" t="s">
        <v>84</v>
      </c>
      <c r="C103" s="14">
        <v>5.0</v>
      </c>
      <c r="D103" s="14">
        <v>2.0</v>
      </c>
      <c r="E103" s="14">
        <v>3.0</v>
      </c>
      <c r="F103" s="14">
        <v>5.5</v>
      </c>
      <c r="G103" s="14">
        <f t="shared" si="13"/>
        <v>33</v>
      </c>
      <c r="H103" s="17"/>
      <c r="I103" s="1"/>
    </row>
    <row r="104" ht="14.25" customHeight="1">
      <c r="A104" s="1"/>
      <c r="B104" s="13" t="s">
        <v>85</v>
      </c>
      <c r="C104" s="14">
        <v>5.0</v>
      </c>
      <c r="D104" s="14">
        <v>2.0</v>
      </c>
      <c r="E104" s="14">
        <v>3.0</v>
      </c>
      <c r="F104" s="14">
        <v>5.5</v>
      </c>
      <c r="G104" s="14">
        <f t="shared" si="13"/>
        <v>33</v>
      </c>
      <c r="H104" s="17"/>
      <c r="I104" s="1"/>
    </row>
    <row r="105" ht="14.25" customHeight="1">
      <c r="A105" s="1"/>
      <c r="B105" s="18" t="s">
        <v>86</v>
      </c>
      <c r="C105" s="19">
        <v>5.0</v>
      </c>
      <c r="D105" s="19">
        <v>2.0</v>
      </c>
      <c r="E105" s="19">
        <v>3.0</v>
      </c>
      <c r="F105" s="19">
        <v>5.5</v>
      </c>
      <c r="G105" s="19">
        <f t="shared" si="13"/>
        <v>33</v>
      </c>
      <c r="H105" s="20"/>
      <c r="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9">
    <mergeCell ref="C2:H2"/>
    <mergeCell ref="E3:H3"/>
    <mergeCell ref="H5:H8"/>
    <mergeCell ref="C10:H10"/>
    <mergeCell ref="E11:H11"/>
    <mergeCell ref="C18:H18"/>
    <mergeCell ref="E19:H19"/>
    <mergeCell ref="C26:H26"/>
    <mergeCell ref="E27:H27"/>
    <mergeCell ref="C34:H34"/>
    <mergeCell ref="E35:H35"/>
    <mergeCell ref="C42:H42"/>
    <mergeCell ref="E43:H43"/>
    <mergeCell ref="C50:H50"/>
    <mergeCell ref="H69:H72"/>
    <mergeCell ref="H77:H80"/>
    <mergeCell ref="H85:H88"/>
    <mergeCell ref="H93:H96"/>
    <mergeCell ref="H101:H105"/>
    <mergeCell ref="H13:H16"/>
    <mergeCell ref="H21:H24"/>
    <mergeCell ref="H29:H32"/>
    <mergeCell ref="H37:H40"/>
    <mergeCell ref="H45:H48"/>
    <mergeCell ref="H53:H56"/>
    <mergeCell ref="H61:H64"/>
    <mergeCell ref="C82:H82"/>
    <mergeCell ref="E83:H83"/>
    <mergeCell ref="C90:H90"/>
    <mergeCell ref="E91:H91"/>
    <mergeCell ref="C98:H98"/>
    <mergeCell ref="E99:H99"/>
    <mergeCell ref="E51:H51"/>
    <mergeCell ref="C58:H58"/>
    <mergeCell ref="E59:H59"/>
    <mergeCell ref="C66:H66"/>
    <mergeCell ref="E67:H67"/>
    <mergeCell ref="C74:H74"/>
    <mergeCell ref="E75:H7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2026-06-22T02:49:07Z</dcterms:created>
  <dc:creator>openpyxl</dc:creator>
</cp:coreProperties>
</file>